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vuorenk/Documents/vaikkari/paulioptnew/pauliopt/experiments/"/>
    </mc:Choice>
  </mc:AlternateContent>
  <xr:revisionPtr revIDLastSave="0" documentId="13_ncr:1_{87F230FE-FAFF-9E46-8C5C-6FFC1D8A4D40}" xr6:coauthVersionLast="47" xr6:coauthVersionMax="47" xr10:uidLastSave="{00000000-0000-0000-0000-000000000000}"/>
  <bookViews>
    <workbookView xWindow="680" yWindow="760" windowWidth="28040" windowHeight="17240" activeTab="2" xr2:uid="{85E89CC3-FE57-2C44-8224-50BF94C0E0C4}"/>
  </bookViews>
  <sheets>
    <sheet name="line6" sheetId="1" r:id="rId1"/>
    <sheet name="quito5" sheetId="5" r:id="rId2"/>
    <sheet name="grid9" sheetId="6" r:id="rId3"/>
    <sheet name="guadalupe16" sheetId="7" r:id="rId4"/>
    <sheet name="grid9-5" sheetId="8" r:id="rId5"/>
    <sheet name="guadalupe16-8" sheetId="9" r:id="rId6"/>
    <sheet name="guadalupe16-8legs" sheetId="1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10" l="1"/>
  <c r="Q29" i="10"/>
  <c r="P29" i="10"/>
  <c r="R28" i="10"/>
  <c r="Q28" i="10"/>
  <c r="P28" i="10"/>
  <c r="R27" i="10"/>
  <c r="Q27" i="10"/>
  <c r="P27" i="10"/>
  <c r="R26" i="10"/>
  <c r="Q26" i="10"/>
  <c r="P26" i="10"/>
  <c r="R25" i="10"/>
  <c r="Q25" i="10"/>
  <c r="P25" i="10"/>
  <c r="R24" i="10"/>
  <c r="Q24" i="10"/>
  <c r="P24" i="10"/>
  <c r="R23" i="10"/>
  <c r="Q23" i="10"/>
  <c r="P23" i="10"/>
  <c r="R22" i="10"/>
  <c r="Q22" i="10"/>
  <c r="P22" i="10"/>
  <c r="R21" i="10"/>
  <c r="Q21" i="10"/>
  <c r="P21" i="10"/>
  <c r="R20" i="10"/>
  <c r="Q20" i="10"/>
  <c r="P20" i="10"/>
  <c r="R19" i="10"/>
  <c r="Q19" i="10"/>
  <c r="P19" i="10"/>
  <c r="R18" i="10"/>
  <c r="Q18" i="10"/>
  <c r="P18" i="10"/>
  <c r="R17" i="10"/>
  <c r="Q17" i="10"/>
  <c r="P17" i="10"/>
  <c r="R16" i="10"/>
  <c r="Q16" i="10"/>
  <c r="P16" i="10"/>
  <c r="R15" i="10"/>
  <c r="Q15" i="10"/>
  <c r="P15" i="10"/>
  <c r="R14" i="10"/>
  <c r="Q14" i="10"/>
  <c r="P14" i="10"/>
  <c r="R13" i="10"/>
  <c r="Q13" i="10"/>
  <c r="P13" i="10"/>
  <c r="R12" i="10"/>
  <c r="Q12" i="10"/>
  <c r="P12" i="10"/>
  <c r="R11" i="10"/>
  <c r="Q11" i="10"/>
  <c r="P11" i="10"/>
  <c r="R10" i="10"/>
  <c r="Q10" i="10"/>
  <c r="P10" i="10"/>
  <c r="R9" i="10"/>
  <c r="Q9" i="10"/>
  <c r="P9" i="10"/>
  <c r="R8" i="10"/>
  <c r="Q8" i="10"/>
  <c r="P8" i="10"/>
  <c r="R7" i="10"/>
  <c r="Q7" i="10"/>
  <c r="P7" i="10"/>
  <c r="R6" i="10"/>
  <c r="Q6" i="10"/>
  <c r="P6" i="10"/>
  <c r="R5" i="10"/>
  <c r="Q5" i="10"/>
  <c r="P5" i="10"/>
  <c r="R4" i="10"/>
  <c r="Q4" i="10"/>
  <c r="P4" i="10"/>
  <c r="R3" i="10"/>
  <c r="Q3" i="10"/>
  <c r="P3" i="10"/>
  <c r="R2" i="10"/>
  <c r="Q2" i="10"/>
  <c r="P2" i="10"/>
  <c r="R29" i="9"/>
  <c r="Q29" i="9"/>
  <c r="P29" i="9"/>
  <c r="R28" i="9"/>
  <c r="Q28" i="9"/>
  <c r="P28" i="9"/>
  <c r="R27" i="9"/>
  <c r="Q27" i="9"/>
  <c r="P27" i="9"/>
  <c r="R26" i="9"/>
  <c r="Q26" i="9"/>
  <c r="P26" i="9"/>
  <c r="R25" i="9"/>
  <c r="Q25" i="9"/>
  <c r="P25" i="9"/>
  <c r="R24" i="9"/>
  <c r="Q24" i="9"/>
  <c r="P24" i="9"/>
  <c r="R23" i="9"/>
  <c r="Q23" i="9"/>
  <c r="P23" i="9"/>
  <c r="R22" i="9"/>
  <c r="Q22" i="9"/>
  <c r="P22" i="9"/>
  <c r="R21" i="9"/>
  <c r="Q21" i="9"/>
  <c r="P21" i="9"/>
  <c r="R20" i="9"/>
  <c r="Q20" i="9"/>
  <c r="P20" i="9"/>
  <c r="R19" i="9"/>
  <c r="Q19" i="9"/>
  <c r="P19" i="9"/>
  <c r="R18" i="9"/>
  <c r="Q18" i="9"/>
  <c r="P18" i="9"/>
  <c r="R17" i="9"/>
  <c r="Q17" i="9"/>
  <c r="P17" i="9"/>
  <c r="R16" i="9"/>
  <c r="Q16" i="9"/>
  <c r="P16" i="9"/>
  <c r="R15" i="9"/>
  <c r="Q15" i="9"/>
  <c r="P15" i="9"/>
  <c r="R14" i="9"/>
  <c r="Q14" i="9"/>
  <c r="P14" i="9"/>
  <c r="R13" i="9"/>
  <c r="Q13" i="9"/>
  <c r="P13" i="9"/>
  <c r="R12" i="9"/>
  <c r="Q12" i="9"/>
  <c r="P12" i="9"/>
  <c r="R11" i="9"/>
  <c r="Q11" i="9"/>
  <c r="P11" i="9"/>
  <c r="R10" i="9"/>
  <c r="Q10" i="9"/>
  <c r="P10" i="9"/>
  <c r="R9" i="9"/>
  <c r="Q9" i="9"/>
  <c r="P9" i="9"/>
  <c r="R8" i="9"/>
  <c r="Q8" i="9"/>
  <c r="P8" i="9"/>
  <c r="R7" i="9"/>
  <c r="Q7" i="9"/>
  <c r="P7" i="9"/>
  <c r="R6" i="9"/>
  <c r="Q6" i="9"/>
  <c r="P6" i="9"/>
  <c r="R5" i="9"/>
  <c r="Q5" i="9"/>
  <c r="P5" i="9"/>
  <c r="R4" i="9"/>
  <c r="Q4" i="9"/>
  <c r="P4" i="9"/>
  <c r="R3" i="9"/>
  <c r="Q3" i="9"/>
  <c r="P3" i="9"/>
  <c r="R2" i="9"/>
  <c r="Q2" i="9"/>
  <c r="P2" i="9"/>
  <c r="R29" i="8"/>
  <c r="Q29" i="8"/>
  <c r="P29" i="8"/>
  <c r="R28" i="8"/>
  <c r="Q28" i="8"/>
  <c r="P28" i="8"/>
  <c r="R27" i="8"/>
  <c r="Q27" i="8"/>
  <c r="P27" i="8"/>
  <c r="R26" i="8"/>
  <c r="Q26" i="8"/>
  <c r="P26" i="8"/>
  <c r="R25" i="8"/>
  <c r="Q25" i="8"/>
  <c r="P25" i="8"/>
  <c r="R24" i="8"/>
  <c r="Q24" i="8"/>
  <c r="P24" i="8"/>
  <c r="R23" i="8"/>
  <c r="Q23" i="8"/>
  <c r="P23" i="8"/>
  <c r="R22" i="8"/>
  <c r="Q22" i="8"/>
  <c r="P22" i="8"/>
  <c r="R21" i="8"/>
  <c r="Q21" i="8"/>
  <c r="P21" i="8"/>
  <c r="R20" i="8"/>
  <c r="Q20" i="8"/>
  <c r="P20" i="8"/>
  <c r="R19" i="8"/>
  <c r="Q19" i="8"/>
  <c r="P19" i="8"/>
  <c r="R18" i="8"/>
  <c r="Q18" i="8"/>
  <c r="P18" i="8"/>
  <c r="R17" i="8"/>
  <c r="Q17" i="8"/>
  <c r="P17" i="8"/>
  <c r="R16" i="8"/>
  <c r="Q16" i="8"/>
  <c r="P16" i="8"/>
  <c r="R15" i="8"/>
  <c r="Q15" i="8"/>
  <c r="P15" i="8"/>
  <c r="R14" i="8"/>
  <c r="Q14" i="8"/>
  <c r="P14" i="8"/>
  <c r="R13" i="8"/>
  <c r="Q13" i="8"/>
  <c r="P13" i="8"/>
  <c r="R12" i="8"/>
  <c r="Q12" i="8"/>
  <c r="P12" i="8"/>
  <c r="R11" i="8"/>
  <c r="Q11" i="8"/>
  <c r="P11" i="8"/>
  <c r="R10" i="8"/>
  <c r="Q10" i="8"/>
  <c r="P10" i="8"/>
  <c r="R9" i="8"/>
  <c r="Q9" i="8"/>
  <c r="P9" i="8"/>
  <c r="R8" i="8"/>
  <c r="Q8" i="8"/>
  <c r="P8" i="8"/>
  <c r="R7" i="8"/>
  <c r="Q7" i="8"/>
  <c r="P7" i="8"/>
  <c r="R6" i="8"/>
  <c r="Q6" i="8"/>
  <c r="P6" i="8"/>
  <c r="R5" i="8"/>
  <c r="Q5" i="8"/>
  <c r="P5" i="8"/>
  <c r="R4" i="8"/>
  <c r="Q4" i="8"/>
  <c r="P4" i="8"/>
  <c r="R3" i="8"/>
  <c r="Q3" i="8"/>
  <c r="P3" i="8"/>
  <c r="R2" i="8"/>
  <c r="Q2" i="8"/>
  <c r="P2" i="8"/>
  <c r="R29" i="7"/>
  <c r="Q29" i="7"/>
  <c r="P29" i="7"/>
  <c r="R28" i="7"/>
  <c r="Q28" i="7"/>
  <c r="P28" i="7"/>
  <c r="R27" i="7"/>
  <c r="Q27" i="7"/>
  <c r="P27" i="7"/>
  <c r="R26" i="7"/>
  <c r="Q26" i="7"/>
  <c r="P26" i="7"/>
  <c r="R25" i="7"/>
  <c r="Q25" i="7"/>
  <c r="P25" i="7"/>
  <c r="R24" i="7"/>
  <c r="Q24" i="7"/>
  <c r="P24" i="7"/>
  <c r="R23" i="7"/>
  <c r="Q23" i="7"/>
  <c r="P23" i="7"/>
  <c r="R22" i="7"/>
  <c r="Q22" i="7"/>
  <c r="P22" i="7"/>
  <c r="R21" i="7"/>
  <c r="Q21" i="7"/>
  <c r="P21" i="7"/>
  <c r="R20" i="7"/>
  <c r="Q20" i="7"/>
  <c r="P20" i="7"/>
  <c r="R19" i="7"/>
  <c r="Q19" i="7"/>
  <c r="P19" i="7"/>
  <c r="R18" i="7"/>
  <c r="Q18" i="7"/>
  <c r="P18" i="7"/>
  <c r="R17" i="7"/>
  <c r="Q17" i="7"/>
  <c r="P17" i="7"/>
  <c r="R16" i="7"/>
  <c r="Q16" i="7"/>
  <c r="P16" i="7"/>
  <c r="R15" i="7"/>
  <c r="Q15" i="7"/>
  <c r="P15" i="7"/>
  <c r="R14" i="7"/>
  <c r="Q14" i="7"/>
  <c r="P14" i="7"/>
  <c r="R13" i="7"/>
  <c r="Q13" i="7"/>
  <c r="P13" i="7"/>
  <c r="R12" i="7"/>
  <c r="Q12" i="7"/>
  <c r="P12" i="7"/>
  <c r="R11" i="7"/>
  <c r="Q11" i="7"/>
  <c r="P11" i="7"/>
  <c r="R10" i="7"/>
  <c r="Q10" i="7"/>
  <c r="P10" i="7"/>
  <c r="R9" i="7"/>
  <c r="Q9" i="7"/>
  <c r="P9" i="7"/>
  <c r="R8" i="7"/>
  <c r="Q8" i="7"/>
  <c r="P8" i="7"/>
  <c r="R7" i="7"/>
  <c r="Q7" i="7"/>
  <c r="P7" i="7"/>
  <c r="R6" i="7"/>
  <c r="Q6" i="7"/>
  <c r="P6" i="7"/>
  <c r="R5" i="7"/>
  <c r="Q5" i="7"/>
  <c r="P5" i="7"/>
  <c r="R4" i="7"/>
  <c r="Q4" i="7"/>
  <c r="P4" i="7"/>
  <c r="R3" i="7"/>
  <c r="Q3" i="7"/>
  <c r="P3" i="7"/>
  <c r="R2" i="7"/>
  <c r="Q2" i="7"/>
  <c r="P2" i="7"/>
  <c r="R29" i="6"/>
  <c r="Q29" i="6"/>
  <c r="P29" i="6"/>
  <c r="R28" i="6"/>
  <c r="Q28" i="6"/>
  <c r="P28" i="6"/>
  <c r="R27" i="6"/>
  <c r="Q27" i="6"/>
  <c r="P27" i="6"/>
  <c r="R26" i="6"/>
  <c r="Q26" i="6"/>
  <c r="P26" i="6"/>
  <c r="R25" i="6"/>
  <c r="Q25" i="6"/>
  <c r="P25" i="6"/>
  <c r="R24" i="6"/>
  <c r="Q24" i="6"/>
  <c r="P24" i="6"/>
  <c r="R23" i="6"/>
  <c r="Q23" i="6"/>
  <c r="P23" i="6"/>
  <c r="R22" i="6"/>
  <c r="Q22" i="6"/>
  <c r="P22" i="6"/>
  <c r="R21" i="6"/>
  <c r="Q21" i="6"/>
  <c r="P21" i="6"/>
  <c r="R20" i="6"/>
  <c r="Q20" i="6"/>
  <c r="P20" i="6"/>
  <c r="R19" i="6"/>
  <c r="Q19" i="6"/>
  <c r="P19" i="6"/>
  <c r="R18" i="6"/>
  <c r="Q18" i="6"/>
  <c r="P18" i="6"/>
  <c r="R17" i="6"/>
  <c r="Q17" i="6"/>
  <c r="P17" i="6"/>
  <c r="R16" i="6"/>
  <c r="Q16" i="6"/>
  <c r="P16" i="6"/>
  <c r="R15" i="6"/>
  <c r="Q15" i="6"/>
  <c r="P15" i="6"/>
  <c r="R14" i="6"/>
  <c r="Q14" i="6"/>
  <c r="P14" i="6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Q2" i="6"/>
  <c r="P2" i="6"/>
  <c r="R29" i="5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P24" i="5"/>
  <c r="R23" i="5"/>
  <c r="Q23" i="5"/>
  <c r="P23" i="5"/>
  <c r="R22" i="5"/>
  <c r="Q22" i="5"/>
  <c r="P22" i="5"/>
  <c r="R21" i="5"/>
  <c r="Q21" i="5"/>
  <c r="P21" i="5"/>
  <c r="R20" i="5"/>
  <c r="Q20" i="5"/>
  <c r="P20" i="5"/>
  <c r="R19" i="5"/>
  <c r="Q19" i="5"/>
  <c r="P19" i="5"/>
  <c r="R18" i="5"/>
  <c r="Q18" i="5"/>
  <c r="P18" i="5"/>
  <c r="R17" i="5"/>
  <c r="Q17" i="5"/>
  <c r="P17" i="5"/>
  <c r="R16" i="5"/>
  <c r="Q16" i="5"/>
  <c r="P16" i="5"/>
  <c r="R15" i="5"/>
  <c r="Q15" i="5"/>
  <c r="P15" i="5"/>
  <c r="R14" i="5"/>
  <c r="Q14" i="5"/>
  <c r="P14" i="5"/>
  <c r="R13" i="5"/>
  <c r="Q13" i="5"/>
  <c r="P13" i="5"/>
  <c r="R12" i="5"/>
  <c r="Q12" i="5"/>
  <c r="P12" i="5"/>
  <c r="R11" i="5"/>
  <c r="Q11" i="5"/>
  <c r="P11" i="5"/>
  <c r="R10" i="5"/>
  <c r="Q10" i="5"/>
  <c r="P10" i="5"/>
  <c r="R9" i="5"/>
  <c r="Q9" i="5"/>
  <c r="P9" i="5"/>
  <c r="R8" i="5"/>
  <c r="Q8" i="5"/>
  <c r="P8" i="5"/>
  <c r="R7" i="5"/>
  <c r="Q7" i="5"/>
  <c r="P7" i="5"/>
  <c r="R6" i="5"/>
  <c r="Q6" i="5"/>
  <c r="P6" i="5"/>
  <c r="R5" i="5"/>
  <c r="Q5" i="5"/>
  <c r="P5" i="5"/>
  <c r="R4" i="5"/>
  <c r="Q4" i="5"/>
  <c r="P4" i="5"/>
  <c r="R3" i="5"/>
  <c r="Q3" i="5"/>
  <c r="P3" i="5"/>
  <c r="R2" i="5"/>
  <c r="Q2" i="5"/>
  <c r="P2" i="5"/>
  <c r="R29" i="1"/>
  <c r="Q29" i="1"/>
  <c r="P29" i="1"/>
  <c r="R28" i="1"/>
  <c r="Q28" i="1"/>
  <c r="P28" i="1"/>
  <c r="R27" i="1"/>
  <c r="Q27" i="1"/>
  <c r="P27" i="1"/>
  <c r="R26" i="1"/>
  <c r="Q26" i="1"/>
  <c r="P26" i="1"/>
  <c r="R25" i="1"/>
  <c r="Q25" i="1"/>
  <c r="P25" i="1"/>
  <c r="R24" i="1"/>
  <c r="Q24" i="1"/>
  <c r="P24" i="1"/>
  <c r="R23" i="1"/>
  <c r="Q23" i="1"/>
  <c r="P23" i="1"/>
  <c r="R22" i="1"/>
  <c r="Q22" i="1"/>
  <c r="P22" i="1"/>
  <c r="R21" i="1"/>
  <c r="Q21" i="1"/>
  <c r="P21" i="1"/>
  <c r="R20" i="1"/>
  <c r="Q20" i="1"/>
  <c r="P20" i="1"/>
  <c r="R19" i="1"/>
  <c r="Q19" i="1"/>
  <c r="P19" i="1"/>
  <c r="R18" i="1"/>
  <c r="Q18" i="1"/>
  <c r="P18" i="1"/>
  <c r="R17" i="1"/>
  <c r="Q17" i="1"/>
  <c r="P17" i="1"/>
  <c r="R16" i="1"/>
  <c r="Q16" i="1"/>
  <c r="P16" i="1"/>
  <c r="R15" i="1"/>
  <c r="Q15" i="1"/>
  <c r="P15" i="1"/>
  <c r="R14" i="1"/>
  <c r="Q14" i="1"/>
  <c r="P14" i="1"/>
  <c r="R13" i="1"/>
  <c r="Q13" i="1"/>
  <c r="P13" i="1"/>
  <c r="R12" i="1"/>
  <c r="Q12" i="1"/>
  <c r="P12" i="1"/>
  <c r="R11" i="1"/>
  <c r="Q11" i="1"/>
  <c r="P11" i="1"/>
  <c r="R10" i="1"/>
  <c r="Q10" i="1"/>
  <c r="P10" i="1"/>
  <c r="R9" i="1"/>
  <c r="Q9" i="1"/>
  <c r="P9" i="1"/>
  <c r="R8" i="1"/>
  <c r="Q8" i="1"/>
  <c r="P8" i="1"/>
  <c r="R7" i="1"/>
  <c r="Q7" i="1"/>
  <c r="P7" i="1"/>
  <c r="R6" i="1"/>
  <c r="Q6" i="1"/>
  <c r="P6" i="1"/>
  <c r="R5" i="1"/>
  <c r="Q5" i="1"/>
  <c r="P5" i="1"/>
  <c r="R4" i="1"/>
  <c r="Q4" i="1"/>
  <c r="P4" i="1"/>
  <c r="R3" i="1"/>
  <c r="Q3" i="1"/>
  <c r="P3" i="1"/>
  <c r="R2" i="1"/>
  <c r="Q2" i="1"/>
  <c r="P2" i="1"/>
</calcChain>
</file>

<file path=xl/sharedStrings.xml><?xml version="1.0" encoding="utf-8"?>
<sst xmlns="http://schemas.openxmlformats.org/spreadsheetml/2006/main" count="119" uniqueCount="15">
  <si>
    <t>gadgets</t>
  </si>
  <si>
    <t>sg</t>
  </si>
  <si>
    <t>sg+mapping</t>
  </si>
  <si>
    <t>do</t>
  </si>
  <si>
    <t>do+mapping</t>
  </si>
  <si>
    <t>sg-sgm%</t>
  </si>
  <si>
    <t>sg-do%</t>
  </si>
  <si>
    <t>do-dom%</t>
  </si>
  <si>
    <t>dynamic ordering</t>
  </si>
  <si>
    <t>steiner-gray</t>
  </si>
  <si>
    <t>sg (ms)</t>
  </si>
  <si>
    <t>sgm (ms)</t>
  </si>
  <si>
    <t>do (ms)</t>
  </si>
  <si>
    <t>dom (ms)</t>
  </si>
  <si>
    <t>sg-do time%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</si>
</sst>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9" fontId="0" fillId="0" borderId="0" xfId="1" applyFont="1"/>
    <xf numFmtId="164" fontId="0" fillId="0" borderId="0" xfId="0" applyNumberFormat="1"/>
    <xf numFmtId="0" fontId="18" fillId="0" borderId="0" xfId="0" applyFont="1"/>
    <xf numFmtId="164" fontId="18" fillId="0" borderId="0" xfId="0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Line-6 (cnot count relative to steiner-gray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line6!$O$1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66-8949-B5B1-E2CE330577D2}"/>
            </c:ext>
          </c:extLst>
        </c:ser>
        <c:ser>
          <c:idx val="1"/>
          <c:order val="1"/>
          <c:tx>
            <c:strRef>
              <c:f>line6!$P$1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line6!$P$2:$P$29</c:f>
              <c:numCache>
                <c:formatCode>0%</c:formatCode>
                <c:ptCount val="28"/>
                <c:pt idx="0">
                  <c:v>0.82317073170731714</c:v>
                </c:pt>
                <c:pt idx="1">
                  <c:v>0.87152777777777779</c:v>
                </c:pt>
                <c:pt idx="2">
                  <c:v>0.91237113402061853</c:v>
                </c:pt>
                <c:pt idx="3">
                  <c:v>0.95771670190274838</c:v>
                </c:pt>
                <c:pt idx="4">
                  <c:v>0.93670886075949367</c:v>
                </c:pt>
                <c:pt idx="5">
                  <c:v>0.96116504854368934</c:v>
                </c:pt>
                <c:pt idx="6">
                  <c:v>0.96778916544655924</c:v>
                </c:pt>
                <c:pt idx="7">
                  <c:v>0.96</c:v>
                </c:pt>
                <c:pt idx="8">
                  <c:v>0.97174447174447165</c:v>
                </c:pt>
                <c:pt idx="9">
                  <c:v>0.96839729119638829</c:v>
                </c:pt>
                <c:pt idx="10">
                  <c:v>0.97647058823529409</c:v>
                </c:pt>
                <c:pt idx="11">
                  <c:v>0.96639511201629336</c:v>
                </c:pt>
                <c:pt idx="12">
                  <c:v>0.98264223722275801</c:v>
                </c:pt>
                <c:pt idx="13">
                  <c:v>0.97830018083182646</c:v>
                </c:pt>
                <c:pt idx="14">
                  <c:v>0.97398091934084996</c:v>
                </c:pt>
                <c:pt idx="15">
                  <c:v>0.98750000000000004</c:v>
                </c:pt>
                <c:pt idx="16">
                  <c:v>0.96889952153110048</c:v>
                </c:pt>
                <c:pt idx="17">
                  <c:v>0.99080459770114948</c:v>
                </c:pt>
                <c:pt idx="18">
                  <c:v>0.99483013293943856</c:v>
                </c:pt>
                <c:pt idx="19">
                  <c:v>0.9887403237156932</c:v>
                </c:pt>
                <c:pt idx="20">
                  <c:v>0.99208860759493667</c:v>
                </c:pt>
                <c:pt idx="21">
                  <c:v>0.99110922946655378</c:v>
                </c:pt>
                <c:pt idx="22">
                  <c:v>0.99533548618586287</c:v>
                </c:pt>
                <c:pt idx="23">
                  <c:v>0.99343749999999997</c:v>
                </c:pt>
                <c:pt idx="24">
                  <c:v>0.98923544024289256</c:v>
                </c:pt>
                <c:pt idx="25">
                  <c:v>0.99447791164658639</c:v>
                </c:pt>
                <c:pt idx="26">
                  <c:v>0.99498404012767883</c:v>
                </c:pt>
                <c:pt idx="27">
                  <c:v>0.99768128161888714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66-8949-B5B1-E2CE330577D2}"/>
            </c:ext>
          </c:extLst>
        </c:ser>
        <c:ser>
          <c:idx val="2"/>
          <c:order val="2"/>
          <c:tx>
            <c:strRef>
              <c:f>line6!$Q$1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line6!$Q$2:$Q$29</c:f>
              <c:numCache>
                <c:formatCode>0%</c:formatCode>
                <c:ptCount val="28"/>
                <c:pt idx="0">
                  <c:v>0.98780487804878048</c:v>
                </c:pt>
                <c:pt idx="1">
                  <c:v>0.89583333333333337</c:v>
                </c:pt>
                <c:pt idx="2">
                  <c:v>0.87628865979381454</c:v>
                </c:pt>
                <c:pt idx="3">
                  <c:v>0.87103594080338276</c:v>
                </c:pt>
                <c:pt idx="4">
                  <c:v>0.83544303797468367</c:v>
                </c:pt>
                <c:pt idx="5">
                  <c:v>0.84466019417475735</c:v>
                </c:pt>
                <c:pt idx="6">
                  <c:v>0.8374816983894583</c:v>
                </c:pt>
                <c:pt idx="7">
                  <c:v>0.81333333333333335</c:v>
                </c:pt>
                <c:pt idx="8">
                  <c:v>0.81081081081081074</c:v>
                </c:pt>
                <c:pt idx="9">
                  <c:v>0.80586907449209944</c:v>
                </c:pt>
                <c:pt idx="10">
                  <c:v>0.79251336898395719</c:v>
                </c:pt>
                <c:pt idx="11">
                  <c:v>0.78309572301425667</c:v>
                </c:pt>
                <c:pt idx="12">
                  <c:v>0.78881388621022175</c:v>
                </c:pt>
                <c:pt idx="13">
                  <c:v>0.77034358047016283</c:v>
                </c:pt>
                <c:pt idx="14">
                  <c:v>0.76235906331309633</c:v>
                </c:pt>
                <c:pt idx="15">
                  <c:v>0.75916666666666666</c:v>
                </c:pt>
                <c:pt idx="16">
                  <c:v>0.75358851674641147</c:v>
                </c:pt>
                <c:pt idx="17">
                  <c:v>0.74942528735632186</c:v>
                </c:pt>
                <c:pt idx="18">
                  <c:v>0.75184638109305757</c:v>
                </c:pt>
                <c:pt idx="19">
                  <c:v>0.74173117522871224</c:v>
                </c:pt>
                <c:pt idx="20">
                  <c:v>0.70991561181434604</c:v>
                </c:pt>
                <c:pt idx="21">
                  <c:v>0.67654530059271811</c:v>
                </c:pt>
                <c:pt idx="22">
                  <c:v>0.65697883028345894</c:v>
                </c:pt>
                <c:pt idx="23">
                  <c:v>0.6434375</c:v>
                </c:pt>
                <c:pt idx="24">
                  <c:v>0.62655258073419817</c:v>
                </c:pt>
                <c:pt idx="25">
                  <c:v>0.61495983935742971</c:v>
                </c:pt>
                <c:pt idx="26">
                  <c:v>0.60351117191062464</c:v>
                </c:pt>
                <c:pt idx="27">
                  <c:v>0.59717537942664423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66-8949-B5B1-E2CE330577D2}"/>
            </c:ext>
          </c:extLst>
        </c:ser>
        <c:ser>
          <c:idx val="3"/>
          <c:order val="3"/>
          <c:tx>
            <c:strRef>
              <c:f>line6!$R$1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line6!$A$2:$A$29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line6!$R$2:$R$29</c:f>
              <c:numCache>
                <c:formatCode>0%</c:formatCode>
                <c:ptCount val="28"/>
                <c:pt idx="0">
                  <c:v>0.74390243902439024</c:v>
                </c:pt>
                <c:pt idx="1">
                  <c:v>0.75694444444444442</c:v>
                </c:pt>
                <c:pt idx="2">
                  <c:v>0.76804123711340211</c:v>
                </c:pt>
                <c:pt idx="3">
                  <c:v>0.78435517970401702</c:v>
                </c:pt>
                <c:pt idx="4">
                  <c:v>0.77576853526220613</c:v>
                </c:pt>
                <c:pt idx="5">
                  <c:v>0.78317152103559873</c:v>
                </c:pt>
                <c:pt idx="6">
                  <c:v>0.79355783308931194</c:v>
                </c:pt>
                <c:pt idx="7">
                  <c:v>0.77466666666666673</c:v>
                </c:pt>
                <c:pt idx="8">
                  <c:v>0.77886977886977882</c:v>
                </c:pt>
                <c:pt idx="9">
                  <c:v>0.77539503386004527</c:v>
                </c:pt>
                <c:pt idx="10">
                  <c:v>0.77433155080213911</c:v>
                </c:pt>
                <c:pt idx="11">
                  <c:v>0.75560081466395113</c:v>
                </c:pt>
                <c:pt idx="12">
                  <c:v>0.76181292189006744</c:v>
                </c:pt>
                <c:pt idx="13">
                  <c:v>0.74864376130198917</c:v>
                </c:pt>
                <c:pt idx="14">
                  <c:v>0.74501300954032967</c:v>
                </c:pt>
                <c:pt idx="15">
                  <c:v>0.73916666666666664</c:v>
                </c:pt>
                <c:pt idx="16">
                  <c:v>0.73763955342902709</c:v>
                </c:pt>
                <c:pt idx="17">
                  <c:v>0.73563218390804597</c:v>
                </c:pt>
                <c:pt idx="18">
                  <c:v>0.73855243722304276</c:v>
                </c:pt>
                <c:pt idx="19">
                  <c:v>0.72624912033779032</c:v>
                </c:pt>
                <c:pt idx="20">
                  <c:v>0.69831223628691985</c:v>
                </c:pt>
                <c:pt idx="21">
                  <c:v>0.66723116003386962</c:v>
                </c:pt>
                <c:pt idx="22">
                  <c:v>0.648367420165052</c:v>
                </c:pt>
                <c:pt idx="23">
                  <c:v>0.63749999999999996</c:v>
                </c:pt>
                <c:pt idx="24">
                  <c:v>0.61910019321004695</c:v>
                </c:pt>
                <c:pt idx="25">
                  <c:v>0.61019076305220887</c:v>
                </c:pt>
                <c:pt idx="26">
                  <c:v>0.59963520291837658</c:v>
                </c:pt>
                <c:pt idx="27">
                  <c:v>0.59043001686340646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66-8949-B5B1-E2CE33057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Quito-5 (cnot count relative to steiner-gray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quito5!$O$1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0-5845-AED1-3910EDD12E35}"/>
            </c:ext>
          </c:extLst>
        </c:ser>
        <c:ser>
          <c:idx val="1"/>
          <c:order val="1"/>
          <c:tx>
            <c:strRef>
              <c:f>quito5!$P$1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quito5!$P$2:$P$29</c:f>
              <c:numCache>
                <c:formatCode>0%</c:formatCode>
                <c:ptCount val="28"/>
                <c:pt idx="0">
                  <c:v>0.89795918367346939</c:v>
                </c:pt>
                <c:pt idx="1">
                  <c:v>0.92090395480225995</c:v>
                </c:pt>
                <c:pt idx="2">
                  <c:v>0.94537815126050417</c:v>
                </c:pt>
                <c:pt idx="3">
                  <c:v>0.97959183673469397</c:v>
                </c:pt>
                <c:pt idx="4">
                  <c:v>0.98280802292263603</c:v>
                </c:pt>
                <c:pt idx="5">
                  <c:v>0.97422680412371132</c:v>
                </c:pt>
                <c:pt idx="6">
                  <c:v>0.9930715935334874</c:v>
                </c:pt>
                <c:pt idx="7">
                  <c:v>1.0021321961620469</c:v>
                </c:pt>
                <c:pt idx="8">
                  <c:v>0.99596774193548376</c:v>
                </c:pt>
                <c:pt idx="9">
                  <c:v>0.98339483394833938</c:v>
                </c:pt>
                <c:pt idx="10">
                  <c:v>0.99293286219081278</c:v>
                </c:pt>
                <c:pt idx="11">
                  <c:v>0.98835274542429274</c:v>
                </c:pt>
                <c:pt idx="12">
                  <c:v>1.0142630744849446</c:v>
                </c:pt>
                <c:pt idx="13">
                  <c:v>0.99698340874811464</c:v>
                </c:pt>
                <c:pt idx="14">
                  <c:v>1.0087336244541485</c:v>
                </c:pt>
                <c:pt idx="15">
                  <c:v>0.99038461538461531</c:v>
                </c:pt>
                <c:pt idx="16">
                  <c:v>0.99607843137254903</c:v>
                </c:pt>
                <c:pt idx="17">
                  <c:v>0.98870765370138014</c:v>
                </c:pt>
                <c:pt idx="18">
                  <c:v>0.99141104294478521</c:v>
                </c:pt>
                <c:pt idx="19">
                  <c:v>0.99172576832151316</c:v>
                </c:pt>
                <c:pt idx="20">
                  <c:v>0.99110320284697506</c:v>
                </c:pt>
                <c:pt idx="21">
                  <c:v>0.99562682215743448</c:v>
                </c:pt>
                <c:pt idx="22">
                  <c:v>0.98697270471464027</c:v>
                </c:pt>
                <c:pt idx="23">
                  <c:v>0.99725425590334982</c:v>
                </c:pt>
                <c:pt idx="24">
                  <c:v>1.0029673590504453</c:v>
                </c:pt>
                <c:pt idx="25">
                  <c:v>0.99819249887031181</c:v>
                </c:pt>
                <c:pt idx="26">
                  <c:v>0.9933333333333334</c:v>
                </c:pt>
                <c:pt idx="27">
                  <c:v>1.0034965034965035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0-5845-AED1-3910EDD12E35}"/>
            </c:ext>
          </c:extLst>
        </c:ser>
        <c:ser>
          <c:idx val="2"/>
          <c:order val="2"/>
          <c:tx>
            <c:strRef>
              <c:f>quito5!$Q$1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quito5!$Q$2:$Q$29</c:f>
              <c:numCache>
                <c:formatCode>0%</c:formatCode>
                <c:ptCount val="28"/>
                <c:pt idx="0">
                  <c:v>0.95918367346938771</c:v>
                </c:pt>
                <c:pt idx="1">
                  <c:v>0.89830508474576276</c:v>
                </c:pt>
                <c:pt idx="2">
                  <c:v>0.84453781512605042</c:v>
                </c:pt>
                <c:pt idx="3">
                  <c:v>0.83673469387755106</c:v>
                </c:pt>
                <c:pt idx="4">
                  <c:v>0.81661891117478513</c:v>
                </c:pt>
                <c:pt idx="5">
                  <c:v>0.81701030927835061</c:v>
                </c:pt>
                <c:pt idx="6">
                  <c:v>0.78983833718244811</c:v>
                </c:pt>
                <c:pt idx="7">
                  <c:v>0.76759061833688702</c:v>
                </c:pt>
                <c:pt idx="8">
                  <c:v>0.78427419354838701</c:v>
                </c:pt>
                <c:pt idx="9">
                  <c:v>0.77121771217712165</c:v>
                </c:pt>
                <c:pt idx="10">
                  <c:v>0.76855123674911663</c:v>
                </c:pt>
                <c:pt idx="11">
                  <c:v>0.75873544093178036</c:v>
                </c:pt>
                <c:pt idx="12">
                  <c:v>0.74801901743264665</c:v>
                </c:pt>
                <c:pt idx="13">
                  <c:v>0.74057315233785825</c:v>
                </c:pt>
                <c:pt idx="14">
                  <c:v>0.74526928675400295</c:v>
                </c:pt>
                <c:pt idx="15">
                  <c:v>0.7280219780219781</c:v>
                </c:pt>
                <c:pt idx="16">
                  <c:v>0.72026143790849673</c:v>
                </c:pt>
                <c:pt idx="17">
                  <c:v>0.70765370138017558</c:v>
                </c:pt>
                <c:pt idx="18">
                  <c:v>0.70674846625766874</c:v>
                </c:pt>
                <c:pt idx="19">
                  <c:v>0.70685579196217496</c:v>
                </c:pt>
                <c:pt idx="20">
                  <c:v>0.65836298932384341</c:v>
                </c:pt>
                <c:pt idx="21">
                  <c:v>0.63483965014577259</c:v>
                </c:pt>
                <c:pt idx="22">
                  <c:v>0.62158808933002485</c:v>
                </c:pt>
                <c:pt idx="23">
                  <c:v>0.60296540362438222</c:v>
                </c:pt>
                <c:pt idx="24">
                  <c:v>0.59495548961424338</c:v>
                </c:pt>
                <c:pt idx="25">
                  <c:v>0.57840036150022589</c:v>
                </c:pt>
                <c:pt idx="26">
                  <c:v>0.56833333333333336</c:v>
                </c:pt>
                <c:pt idx="27">
                  <c:v>0.56371406371406374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60-5845-AED1-3910EDD12E35}"/>
            </c:ext>
          </c:extLst>
        </c:ser>
        <c:ser>
          <c:idx val="3"/>
          <c:order val="3"/>
          <c:tx>
            <c:strRef>
              <c:f>quito5!$R$1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quito5!$A$2:$A$29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quito5!$R$2:$R$29</c:f>
              <c:numCache>
                <c:formatCode>0%</c:formatCode>
                <c:ptCount val="28"/>
                <c:pt idx="0">
                  <c:v>0.84693877551020413</c:v>
                </c:pt>
                <c:pt idx="1">
                  <c:v>0.80225988700564976</c:v>
                </c:pt>
                <c:pt idx="2">
                  <c:v>0.79831932773109238</c:v>
                </c:pt>
                <c:pt idx="3">
                  <c:v>0.81632653061224492</c:v>
                </c:pt>
                <c:pt idx="4">
                  <c:v>0.8080229226361032</c:v>
                </c:pt>
                <c:pt idx="5">
                  <c:v>0.78608247422680422</c:v>
                </c:pt>
                <c:pt idx="6">
                  <c:v>0.77829099307159366</c:v>
                </c:pt>
                <c:pt idx="7">
                  <c:v>0.77398720682302768</c:v>
                </c:pt>
                <c:pt idx="8">
                  <c:v>0.76814516129032262</c:v>
                </c:pt>
                <c:pt idx="9">
                  <c:v>0.75645756457564572</c:v>
                </c:pt>
                <c:pt idx="10">
                  <c:v>0.76501766784452285</c:v>
                </c:pt>
                <c:pt idx="11">
                  <c:v>0.73876871880199668</c:v>
                </c:pt>
                <c:pt idx="12">
                  <c:v>0.7527733755942948</c:v>
                </c:pt>
                <c:pt idx="13">
                  <c:v>0.73755656108597289</c:v>
                </c:pt>
                <c:pt idx="14">
                  <c:v>0.74235807860262004</c:v>
                </c:pt>
                <c:pt idx="15">
                  <c:v>0.72390109890109899</c:v>
                </c:pt>
                <c:pt idx="16">
                  <c:v>0.71895424836601307</c:v>
                </c:pt>
                <c:pt idx="17">
                  <c:v>0.71392722710163103</c:v>
                </c:pt>
                <c:pt idx="18">
                  <c:v>0.71411042944785275</c:v>
                </c:pt>
                <c:pt idx="19">
                  <c:v>0.70094562647754144</c:v>
                </c:pt>
                <c:pt idx="20">
                  <c:v>0.66637010676156583</c:v>
                </c:pt>
                <c:pt idx="21">
                  <c:v>0.63994169096209919</c:v>
                </c:pt>
                <c:pt idx="22">
                  <c:v>0.61972704714640203</c:v>
                </c:pt>
                <c:pt idx="23">
                  <c:v>0.60461285008237231</c:v>
                </c:pt>
                <c:pt idx="24">
                  <c:v>0.59297725024727999</c:v>
                </c:pt>
                <c:pt idx="25">
                  <c:v>0.57704473565295977</c:v>
                </c:pt>
                <c:pt idx="26">
                  <c:v>0.5675</c:v>
                </c:pt>
                <c:pt idx="27">
                  <c:v>0.56060606060606066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60-5845-AED1-3910EDD12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(cnot count relative to steiner-gray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grid9!$O$1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E-0D43-B942-9D9F1A05DA4E}"/>
            </c:ext>
          </c:extLst>
        </c:ser>
        <c:ser>
          <c:idx val="1"/>
          <c:order val="1"/>
          <c:tx>
            <c:strRef>
              <c:f>grid9!$P$1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grid9!$P$2:$P$29</c:f>
              <c:numCache>
                <c:formatCode>0%</c:formatCode>
                <c:ptCount val="28"/>
                <c:pt idx="0">
                  <c:v>0.80851063829787229</c:v>
                </c:pt>
                <c:pt idx="1">
                  <c:v>0.94045174537987664</c:v>
                </c:pt>
                <c:pt idx="2">
                  <c:v>0.9414893617021276</c:v>
                </c:pt>
                <c:pt idx="3">
                  <c:v>0.96767241379310343</c:v>
                </c:pt>
                <c:pt idx="4">
                  <c:v>0.97588126159554733</c:v>
                </c:pt>
                <c:pt idx="5">
                  <c:v>0.97442244224422436</c:v>
                </c:pt>
                <c:pt idx="6">
                  <c:v>0.99009900990098998</c:v>
                </c:pt>
                <c:pt idx="7">
                  <c:v>0.98605299860529982</c:v>
                </c:pt>
                <c:pt idx="8">
                  <c:v>0.99292604501607717</c:v>
                </c:pt>
                <c:pt idx="9">
                  <c:v>0.99754450583179866</c:v>
                </c:pt>
                <c:pt idx="10">
                  <c:v>0.9971247843588269</c:v>
                </c:pt>
                <c:pt idx="11">
                  <c:v>0.98644986449864502</c:v>
                </c:pt>
                <c:pt idx="12">
                  <c:v>0.98251928020565549</c:v>
                </c:pt>
                <c:pt idx="13">
                  <c:v>0.99029597282872395</c:v>
                </c:pt>
                <c:pt idx="14">
                  <c:v>0.99266391563502987</c:v>
                </c:pt>
                <c:pt idx="15">
                  <c:v>0.99910434393193004</c:v>
                </c:pt>
                <c:pt idx="16">
                  <c:v>0.99442299442299453</c:v>
                </c:pt>
                <c:pt idx="17">
                  <c:v>1.0036659877800407</c:v>
                </c:pt>
                <c:pt idx="18">
                  <c:v>0.98937844217151849</c:v>
                </c:pt>
                <c:pt idx="19">
                  <c:v>0.99167927382753407</c:v>
                </c:pt>
                <c:pt idx="20">
                  <c:v>0.99552572706935116</c:v>
                </c:pt>
                <c:pt idx="21">
                  <c:v>0.99711111111111106</c:v>
                </c:pt>
                <c:pt idx="22">
                  <c:v>1.0068811604984191</c:v>
                </c:pt>
                <c:pt idx="23">
                  <c:v>0.9990468625893566</c:v>
                </c:pt>
                <c:pt idx="24">
                  <c:v>0.99491269077409605</c:v>
                </c:pt>
                <c:pt idx="25">
                  <c:v>1.0024731049833064</c:v>
                </c:pt>
                <c:pt idx="26">
                  <c:v>1.0011171936096526</c:v>
                </c:pt>
                <c:pt idx="27">
                  <c:v>0.99888211382113823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E-0D43-B942-9D9F1A05DA4E}"/>
            </c:ext>
          </c:extLst>
        </c:ser>
        <c:ser>
          <c:idx val="2"/>
          <c:order val="2"/>
          <c:tx>
            <c:strRef>
              <c:f>grid9!$Q$1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grid9!$Q$2:$Q$29</c:f>
              <c:numCache>
                <c:formatCode>0%</c:formatCode>
                <c:ptCount val="28"/>
                <c:pt idx="0">
                  <c:v>1.0595744680851062</c:v>
                </c:pt>
                <c:pt idx="1">
                  <c:v>0.97946611909650927</c:v>
                </c:pt>
                <c:pt idx="2">
                  <c:v>0.94680851063829785</c:v>
                </c:pt>
                <c:pt idx="3">
                  <c:v>0.9181034482758621</c:v>
                </c:pt>
                <c:pt idx="4">
                  <c:v>0.91929499072356213</c:v>
                </c:pt>
                <c:pt idx="5">
                  <c:v>0.90676567656765683</c:v>
                </c:pt>
                <c:pt idx="6">
                  <c:v>0.90708301599390695</c:v>
                </c:pt>
                <c:pt idx="7">
                  <c:v>0.90306834030683403</c:v>
                </c:pt>
                <c:pt idx="8">
                  <c:v>0.89131832797427646</c:v>
                </c:pt>
                <c:pt idx="9">
                  <c:v>0.89073050951503985</c:v>
                </c:pt>
                <c:pt idx="10">
                  <c:v>0.87924094307073031</c:v>
                </c:pt>
                <c:pt idx="11">
                  <c:v>0.86558265582655824</c:v>
                </c:pt>
                <c:pt idx="12">
                  <c:v>0.86015424164524423</c:v>
                </c:pt>
                <c:pt idx="13">
                  <c:v>0.85443959243085876</c:v>
                </c:pt>
                <c:pt idx="14">
                  <c:v>0.84731774415405781</c:v>
                </c:pt>
                <c:pt idx="15">
                  <c:v>0.85042543663233316</c:v>
                </c:pt>
                <c:pt idx="16">
                  <c:v>0.84641784641784645</c:v>
                </c:pt>
                <c:pt idx="17">
                  <c:v>0.84317718940936859</c:v>
                </c:pt>
                <c:pt idx="18">
                  <c:v>0.83870967741935487</c:v>
                </c:pt>
                <c:pt idx="19">
                  <c:v>0.83169440242057502</c:v>
                </c:pt>
                <c:pt idx="20">
                  <c:v>0.80704697986577179</c:v>
                </c:pt>
                <c:pt idx="21">
                  <c:v>0.78066666666666673</c:v>
                </c:pt>
                <c:pt idx="22">
                  <c:v>0.76938813464757294</c:v>
                </c:pt>
                <c:pt idx="23">
                  <c:v>0.74964257347100871</c:v>
                </c:pt>
                <c:pt idx="24">
                  <c:v>0.73202254915440668</c:v>
                </c:pt>
                <c:pt idx="25">
                  <c:v>0.72672189934462716</c:v>
                </c:pt>
                <c:pt idx="26">
                  <c:v>0.71087029382191924</c:v>
                </c:pt>
                <c:pt idx="27">
                  <c:v>0.70396341463414636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E-0D43-B942-9D9F1A05DA4E}"/>
            </c:ext>
          </c:extLst>
        </c:ser>
        <c:ser>
          <c:idx val="3"/>
          <c:order val="3"/>
          <c:tx>
            <c:strRef>
              <c:f>grid9!$R$1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grid9!$A$2:$A$29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grid9!$R$2:$R$29</c:f>
              <c:numCache>
                <c:formatCode>0%</c:formatCode>
                <c:ptCount val="28"/>
                <c:pt idx="0">
                  <c:v>0.74042553191489358</c:v>
                </c:pt>
                <c:pt idx="1">
                  <c:v>0.75359342915811089</c:v>
                </c:pt>
                <c:pt idx="2">
                  <c:v>0.78590425531914887</c:v>
                </c:pt>
                <c:pt idx="3">
                  <c:v>0.82974137931034486</c:v>
                </c:pt>
                <c:pt idx="4">
                  <c:v>0.86085343228200373</c:v>
                </c:pt>
                <c:pt idx="5">
                  <c:v>0.85643564356435642</c:v>
                </c:pt>
                <c:pt idx="6">
                  <c:v>0.87281035795887274</c:v>
                </c:pt>
                <c:pt idx="7">
                  <c:v>0.86052998605299857</c:v>
                </c:pt>
                <c:pt idx="8">
                  <c:v>0.864951768488746</c:v>
                </c:pt>
                <c:pt idx="9">
                  <c:v>0.8643339472068754</c:v>
                </c:pt>
                <c:pt idx="10">
                  <c:v>0.85681426106958014</c:v>
                </c:pt>
                <c:pt idx="11">
                  <c:v>0.84715447154471546</c:v>
                </c:pt>
                <c:pt idx="12">
                  <c:v>0.84061696658097684</c:v>
                </c:pt>
                <c:pt idx="13">
                  <c:v>0.83745754488112567</c:v>
                </c:pt>
                <c:pt idx="14">
                  <c:v>0.83218707015130677</c:v>
                </c:pt>
                <c:pt idx="15">
                  <c:v>0.84102104791759968</c:v>
                </c:pt>
                <c:pt idx="16">
                  <c:v>0.83097383097383093</c:v>
                </c:pt>
                <c:pt idx="17">
                  <c:v>0.82606924643584523</c:v>
                </c:pt>
                <c:pt idx="18">
                  <c:v>0.82100708103855236</c:v>
                </c:pt>
                <c:pt idx="19">
                  <c:v>0.8184568835098337</c:v>
                </c:pt>
                <c:pt idx="20">
                  <c:v>0.79837807606263977</c:v>
                </c:pt>
                <c:pt idx="21">
                  <c:v>0.77955555555555556</c:v>
                </c:pt>
                <c:pt idx="22">
                  <c:v>0.76250697414915369</c:v>
                </c:pt>
                <c:pt idx="23">
                  <c:v>0.74710087370929312</c:v>
                </c:pt>
                <c:pt idx="24">
                  <c:v>0.73216004399835011</c:v>
                </c:pt>
                <c:pt idx="25">
                  <c:v>0.72338320761716335</c:v>
                </c:pt>
                <c:pt idx="26">
                  <c:v>0.7105351357390236</c:v>
                </c:pt>
                <c:pt idx="27">
                  <c:v>0.7027439024390244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CE-0D43-B942-9D9F1A05D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(cnot count relative to steiner-gray without mapping, 200 samples)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guadalupe16!$O$1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93-7F43-8842-4CFD87BAE93B}"/>
            </c:ext>
          </c:extLst>
        </c:ser>
        <c:ser>
          <c:idx val="1"/>
          <c:order val="1"/>
          <c:tx>
            <c:strRef>
              <c:f>guadalupe16!$P$1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guadalupe16!$P$2:$P$29</c:f>
              <c:numCache>
                <c:formatCode>0%</c:formatCode>
                <c:ptCount val="28"/>
                <c:pt idx="0">
                  <c:v>0.63956639566395668</c:v>
                </c:pt>
                <c:pt idx="1">
                  <c:v>0.87693342299932764</c:v>
                </c:pt>
                <c:pt idx="2">
                  <c:v>0.87961755758365934</c:v>
                </c:pt>
                <c:pt idx="3">
                  <c:v>0.93245525160418774</c:v>
                </c:pt>
                <c:pt idx="4">
                  <c:v>0.96068578185042863</c:v>
                </c:pt>
                <c:pt idx="5">
                  <c:v>0.9699921031850488</c:v>
                </c:pt>
                <c:pt idx="6">
                  <c:v>0.96949315397549851</c:v>
                </c:pt>
                <c:pt idx="7">
                  <c:v>0.98181818181818181</c:v>
                </c:pt>
                <c:pt idx="8">
                  <c:v>0.98194646192156054</c:v>
                </c:pt>
                <c:pt idx="9">
                  <c:v>0.98556741795175962</c:v>
                </c:pt>
                <c:pt idx="10">
                  <c:v>0.98065727699530525</c:v>
                </c:pt>
                <c:pt idx="11">
                  <c:v>0.98462638541294245</c:v>
                </c:pt>
                <c:pt idx="12">
                  <c:v>0.98637602179836514</c:v>
                </c:pt>
                <c:pt idx="13">
                  <c:v>0.9810674065611229</c:v>
                </c:pt>
                <c:pt idx="14">
                  <c:v>0.9877589453860639</c:v>
                </c:pt>
                <c:pt idx="15">
                  <c:v>0.98529857532585641</c:v>
                </c:pt>
                <c:pt idx="16">
                  <c:v>0.98766507038165718</c:v>
                </c:pt>
                <c:pt idx="17">
                  <c:v>0.98821218074656192</c:v>
                </c:pt>
                <c:pt idx="18">
                  <c:v>0.98604336043360441</c:v>
                </c:pt>
                <c:pt idx="19">
                  <c:v>0.98797228395868752</c:v>
                </c:pt>
                <c:pt idx="20">
                  <c:v>0.99331070287539935</c:v>
                </c:pt>
                <c:pt idx="21">
                  <c:v>0.99323625368027368</c:v>
                </c:pt>
                <c:pt idx="22">
                  <c:v>0.99270561466907592</c:v>
                </c:pt>
                <c:pt idx="23">
                  <c:v>0.9958496656675121</c:v>
                </c:pt>
                <c:pt idx="24">
                  <c:v>0.99534624917800596</c:v>
                </c:pt>
                <c:pt idx="25">
                  <c:v>0.99594320486815413</c:v>
                </c:pt>
                <c:pt idx="26">
                  <c:v>0.99190991137490847</c:v>
                </c:pt>
                <c:pt idx="27">
                  <c:v>0.99242592182073452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3-7F43-8842-4CFD87BAE93B}"/>
            </c:ext>
          </c:extLst>
        </c:ser>
        <c:ser>
          <c:idx val="2"/>
          <c:order val="2"/>
          <c:tx>
            <c:strRef>
              <c:f>guadalupe16!$Q$1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guadalupe16!$Q$2:$Q$29</c:f>
              <c:numCache>
                <c:formatCode>0%</c:formatCode>
                <c:ptCount val="28"/>
                <c:pt idx="0">
                  <c:v>1.2425474254742548</c:v>
                </c:pt>
                <c:pt idx="1">
                  <c:v>1.1089441829186282</c:v>
                </c:pt>
                <c:pt idx="2">
                  <c:v>0.9782703172533681</c:v>
                </c:pt>
                <c:pt idx="3">
                  <c:v>0.95879770347855442</c:v>
                </c:pt>
                <c:pt idx="4">
                  <c:v>0.95033993496896241</c:v>
                </c:pt>
                <c:pt idx="5">
                  <c:v>0.95235588312713881</c:v>
                </c:pt>
                <c:pt idx="6">
                  <c:v>0.94859476339178472</c:v>
                </c:pt>
                <c:pt idx="7">
                  <c:v>0.93968957871396896</c:v>
                </c:pt>
                <c:pt idx="8">
                  <c:v>0.93484125337206891</c:v>
                </c:pt>
                <c:pt idx="9">
                  <c:v>0.92803479636219843</c:v>
                </c:pt>
                <c:pt idx="10">
                  <c:v>0.91868544600938962</c:v>
                </c:pt>
                <c:pt idx="11">
                  <c:v>0.91759027529495885</c:v>
                </c:pt>
                <c:pt idx="12">
                  <c:v>0.90854904632152578</c:v>
                </c:pt>
                <c:pt idx="13">
                  <c:v>0.90533703280561451</c:v>
                </c:pt>
                <c:pt idx="14">
                  <c:v>0.90348399246704336</c:v>
                </c:pt>
                <c:pt idx="15">
                  <c:v>0.89996968778417696</c:v>
                </c:pt>
                <c:pt idx="16">
                  <c:v>0.89566100711072416</c:v>
                </c:pt>
                <c:pt idx="17">
                  <c:v>0.89152399663205151</c:v>
                </c:pt>
                <c:pt idx="18">
                  <c:v>0.88495934959349598</c:v>
                </c:pt>
                <c:pt idx="19">
                  <c:v>0.88521375343182118</c:v>
                </c:pt>
                <c:pt idx="20">
                  <c:v>0.86611421725239612</c:v>
                </c:pt>
                <c:pt idx="21">
                  <c:v>0.8488899498687037</c:v>
                </c:pt>
                <c:pt idx="22">
                  <c:v>0.84092886301278191</c:v>
                </c:pt>
                <c:pt idx="23">
                  <c:v>0.83294904311736229</c:v>
                </c:pt>
                <c:pt idx="24">
                  <c:v>0.8251808386868329</c:v>
                </c:pt>
                <c:pt idx="25">
                  <c:v>0.82145593869731803</c:v>
                </c:pt>
                <c:pt idx="26">
                  <c:v>0.81453776729815419</c:v>
                </c:pt>
                <c:pt idx="27">
                  <c:v>0.80939185694228921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3-7F43-8842-4CFD87BAE93B}"/>
            </c:ext>
          </c:extLst>
        </c:ser>
        <c:ser>
          <c:idx val="3"/>
          <c:order val="3"/>
          <c:tx>
            <c:strRef>
              <c:f>guadalupe16!$R$1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guadalupe16!$A$2:$A$29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guadalupe16!$R$2:$R$29</c:f>
              <c:numCache>
                <c:formatCode>0%</c:formatCode>
                <c:ptCount val="28"/>
                <c:pt idx="0">
                  <c:v>0.66531165311653118</c:v>
                </c:pt>
                <c:pt idx="1">
                  <c:v>0.89576328177538667</c:v>
                </c:pt>
                <c:pt idx="2">
                  <c:v>0.84658843980877885</c:v>
                </c:pt>
                <c:pt idx="3">
                  <c:v>0.86524822695035453</c:v>
                </c:pt>
                <c:pt idx="4">
                  <c:v>0.893585574933491</c:v>
                </c:pt>
                <c:pt idx="5">
                  <c:v>0.90286917609897344</c:v>
                </c:pt>
                <c:pt idx="6">
                  <c:v>0.90992073024261355</c:v>
                </c:pt>
                <c:pt idx="7">
                  <c:v>0.91396895787139687</c:v>
                </c:pt>
                <c:pt idx="8">
                  <c:v>0.90910977381199432</c:v>
                </c:pt>
                <c:pt idx="9">
                  <c:v>0.90391459074733094</c:v>
                </c:pt>
                <c:pt idx="10">
                  <c:v>0.90253521126760572</c:v>
                </c:pt>
                <c:pt idx="11">
                  <c:v>0.89864140150160887</c:v>
                </c:pt>
                <c:pt idx="12">
                  <c:v>0.89254087193460485</c:v>
                </c:pt>
                <c:pt idx="13">
                  <c:v>0.88836298351558662</c:v>
                </c:pt>
                <c:pt idx="14">
                  <c:v>0.88731952291274319</c:v>
                </c:pt>
                <c:pt idx="15">
                  <c:v>0.88481357987268872</c:v>
                </c:pt>
                <c:pt idx="16">
                  <c:v>0.87766652154984748</c:v>
                </c:pt>
                <c:pt idx="17">
                  <c:v>0.87636822902048828</c:v>
                </c:pt>
                <c:pt idx="18">
                  <c:v>0.87479674796747975</c:v>
                </c:pt>
                <c:pt idx="19">
                  <c:v>0.8700483723362531</c:v>
                </c:pt>
                <c:pt idx="20">
                  <c:v>0.85692891373801905</c:v>
                </c:pt>
                <c:pt idx="21">
                  <c:v>0.84220577703509192</c:v>
                </c:pt>
                <c:pt idx="22">
                  <c:v>0.83403600347989026</c:v>
                </c:pt>
                <c:pt idx="23">
                  <c:v>0.82695411574821298</c:v>
                </c:pt>
                <c:pt idx="24">
                  <c:v>0.82052708786483886</c:v>
                </c:pt>
                <c:pt idx="25">
                  <c:v>0.81794004958305155</c:v>
                </c:pt>
                <c:pt idx="26">
                  <c:v>0.80986259045450837</c:v>
                </c:pt>
                <c:pt idx="27">
                  <c:v>0.80625138550210596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3-7F43-8842-4CFD87BAE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grid-9 (gadgets use only 5 qubits)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'grid9-5'!$O$1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4A-7F41-B375-FD6EAB5DE8D8}"/>
            </c:ext>
          </c:extLst>
        </c:ser>
        <c:ser>
          <c:idx val="1"/>
          <c:order val="1"/>
          <c:tx>
            <c:strRef>
              <c:f>'grid9-5'!$P$1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'grid9-5'!$P$2:$P$29</c:f>
              <c:numCache>
                <c:formatCode>0%</c:formatCode>
                <c:ptCount val="28"/>
                <c:pt idx="0">
                  <c:v>1.0393700787401574</c:v>
                </c:pt>
                <c:pt idx="1">
                  <c:v>0.97021276595744688</c:v>
                </c:pt>
                <c:pt idx="2">
                  <c:v>1.0273037542662116</c:v>
                </c:pt>
                <c:pt idx="3">
                  <c:v>0.96587926509186339</c:v>
                </c:pt>
                <c:pt idx="4">
                  <c:v>0.96976744186046515</c:v>
                </c:pt>
                <c:pt idx="5">
                  <c:v>0.9621052631578948</c:v>
                </c:pt>
                <c:pt idx="6">
                  <c:v>0.94402985074626866</c:v>
                </c:pt>
                <c:pt idx="7">
                  <c:v>0.93760831889081453</c:v>
                </c:pt>
                <c:pt idx="8">
                  <c:v>0.91853035143769968</c:v>
                </c:pt>
                <c:pt idx="9">
                  <c:v>0.87146892655367236</c:v>
                </c:pt>
                <c:pt idx="10">
                  <c:v>0.91456582633053207</c:v>
                </c:pt>
                <c:pt idx="11">
                  <c:v>0.91587516960651283</c:v>
                </c:pt>
                <c:pt idx="12">
                  <c:v>0.91037131882202305</c:v>
                </c:pt>
                <c:pt idx="13">
                  <c:v>0.88755980861244033</c:v>
                </c:pt>
                <c:pt idx="14">
                  <c:v>0.90046296296296291</c:v>
                </c:pt>
                <c:pt idx="15">
                  <c:v>0.88461538461538458</c:v>
                </c:pt>
                <c:pt idx="16">
                  <c:v>0.89547413793103448</c:v>
                </c:pt>
                <c:pt idx="17">
                  <c:v>0.91341077085533262</c:v>
                </c:pt>
                <c:pt idx="18">
                  <c:v>0.89</c:v>
                </c:pt>
                <c:pt idx="19">
                  <c:v>0.89970788704965921</c:v>
                </c:pt>
                <c:pt idx="20">
                  <c:v>0.85103349964362074</c:v>
                </c:pt>
                <c:pt idx="21">
                  <c:v>0.85323826500297084</c:v>
                </c:pt>
                <c:pt idx="22">
                  <c:v>0.8437185929648241</c:v>
                </c:pt>
                <c:pt idx="23">
                  <c:v>0.86843307446322515</c:v>
                </c:pt>
                <c:pt idx="24">
                  <c:v>0.85197368421052633</c:v>
                </c:pt>
                <c:pt idx="25">
                  <c:v>0.84521610639083866</c:v>
                </c:pt>
                <c:pt idx="26">
                  <c:v>0.85359972442301069</c:v>
                </c:pt>
                <c:pt idx="27">
                  <c:v>0.85654008438818552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4A-7F41-B375-FD6EAB5DE8D8}"/>
            </c:ext>
          </c:extLst>
        </c:ser>
        <c:ser>
          <c:idx val="2"/>
          <c:order val="2"/>
          <c:tx>
            <c:strRef>
              <c:f>'grid9-5'!$Q$1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'grid9-5'!$Q$2:$Q$29</c:f>
              <c:numCache>
                <c:formatCode>0%</c:formatCode>
                <c:ptCount val="28"/>
                <c:pt idx="0">
                  <c:v>1.0866141732283465</c:v>
                </c:pt>
                <c:pt idx="1">
                  <c:v>1.0851063829787233</c:v>
                </c:pt>
                <c:pt idx="2">
                  <c:v>1.122866894197952</c:v>
                </c:pt>
                <c:pt idx="3">
                  <c:v>1.094488188976378</c:v>
                </c:pt>
                <c:pt idx="4">
                  <c:v>1.1046511627906976</c:v>
                </c:pt>
                <c:pt idx="5">
                  <c:v>1.071578947368421</c:v>
                </c:pt>
                <c:pt idx="6">
                  <c:v>1.0578358208955223</c:v>
                </c:pt>
                <c:pt idx="7">
                  <c:v>1.0606585788561524</c:v>
                </c:pt>
                <c:pt idx="8">
                  <c:v>1.0415335463258786</c:v>
                </c:pt>
                <c:pt idx="9">
                  <c:v>1.0098870056497176</c:v>
                </c:pt>
                <c:pt idx="10">
                  <c:v>1.0336134453781511</c:v>
                </c:pt>
                <c:pt idx="11">
                  <c:v>1.0474898236092265</c:v>
                </c:pt>
                <c:pt idx="12">
                  <c:v>1.0384122919334187</c:v>
                </c:pt>
                <c:pt idx="13">
                  <c:v>0.95454545454545459</c:v>
                </c:pt>
                <c:pt idx="14">
                  <c:v>0.98611111111111105</c:v>
                </c:pt>
                <c:pt idx="15">
                  <c:v>0.94945054945054952</c:v>
                </c:pt>
                <c:pt idx="16">
                  <c:v>0.95474137931034475</c:v>
                </c:pt>
                <c:pt idx="17">
                  <c:v>0.9672650475184793</c:v>
                </c:pt>
                <c:pt idx="18">
                  <c:v>0.94</c:v>
                </c:pt>
                <c:pt idx="19">
                  <c:v>0.94157740993184036</c:v>
                </c:pt>
                <c:pt idx="20">
                  <c:v>0.84746970776906627</c:v>
                </c:pt>
                <c:pt idx="21">
                  <c:v>0.78669043374925729</c:v>
                </c:pt>
                <c:pt idx="22">
                  <c:v>0.75477386934673363</c:v>
                </c:pt>
                <c:pt idx="23">
                  <c:v>0.71859296482412061</c:v>
                </c:pt>
                <c:pt idx="24">
                  <c:v>0.69695723684210531</c:v>
                </c:pt>
                <c:pt idx="25">
                  <c:v>0.66974510528260078</c:v>
                </c:pt>
                <c:pt idx="26">
                  <c:v>0.64553909748535998</c:v>
                </c:pt>
                <c:pt idx="27">
                  <c:v>0.62966569295683217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C4A-7F41-B375-FD6EAB5DE8D8}"/>
            </c:ext>
          </c:extLst>
        </c:ser>
        <c:ser>
          <c:idx val="3"/>
          <c:order val="3"/>
          <c:tx>
            <c:strRef>
              <c:f>'grid9-5'!$R$1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'grid9-5'!$A$2:$A$29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'grid9-5'!$R$2:$R$29</c:f>
              <c:numCache>
                <c:formatCode>0%</c:formatCode>
                <c:ptCount val="28"/>
                <c:pt idx="0">
                  <c:v>0.952755905511811</c:v>
                </c:pt>
                <c:pt idx="1">
                  <c:v>0.84680851063829776</c:v>
                </c:pt>
                <c:pt idx="2">
                  <c:v>0.88395904436860062</c:v>
                </c:pt>
                <c:pt idx="3">
                  <c:v>0.82414698162729649</c:v>
                </c:pt>
                <c:pt idx="4">
                  <c:v>0.81395348837209303</c:v>
                </c:pt>
                <c:pt idx="5">
                  <c:v>0.82105263157894737</c:v>
                </c:pt>
                <c:pt idx="6">
                  <c:v>0.79291044776119401</c:v>
                </c:pt>
                <c:pt idx="7">
                  <c:v>0.77469670710571925</c:v>
                </c:pt>
                <c:pt idx="8">
                  <c:v>0.74760383386581464</c:v>
                </c:pt>
                <c:pt idx="9">
                  <c:v>0.7076271186440678</c:v>
                </c:pt>
                <c:pt idx="10">
                  <c:v>0.73529411764705876</c:v>
                </c:pt>
                <c:pt idx="11">
                  <c:v>0.73677069199457257</c:v>
                </c:pt>
                <c:pt idx="12">
                  <c:v>0.71446862996158778</c:v>
                </c:pt>
                <c:pt idx="13">
                  <c:v>0.69617224880382789</c:v>
                </c:pt>
                <c:pt idx="14">
                  <c:v>0.69560185185185186</c:v>
                </c:pt>
                <c:pt idx="15">
                  <c:v>0.68571428571428572</c:v>
                </c:pt>
                <c:pt idx="16">
                  <c:v>0.68642241379310354</c:v>
                </c:pt>
                <c:pt idx="17">
                  <c:v>0.69482576557550157</c:v>
                </c:pt>
                <c:pt idx="18">
                  <c:v>0.67700000000000005</c:v>
                </c:pt>
                <c:pt idx="19">
                  <c:v>0.68257059396299891</c:v>
                </c:pt>
                <c:pt idx="20">
                  <c:v>0.60655737704918022</c:v>
                </c:pt>
                <c:pt idx="21">
                  <c:v>0.58229352346999397</c:v>
                </c:pt>
                <c:pt idx="22">
                  <c:v>0.55778894472361806</c:v>
                </c:pt>
                <c:pt idx="23">
                  <c:v>0.55367747830059388</c:v>
                </c:pt>
                <c:pt idx="24">
                  <c:v>0.53618421052631582</c:v>
                </c:pt>
                <c:pt idx="25">
                  <c:v>0.51791651274473582</c:v>
                </c:pt>
                <c:pt idx="26">
                  <c:v>0.5049948329314502</c:v>
                </c:pt>
                <c:pt idx="27">
                  <c:v>0.50503083414475813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C4A-7F41-B375-FD6EAB5DE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use only 8 qubits) 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CD-634A-B498-03CB4DAFCAAE}"/>
            </c:ext>
          </c:extLst>
        </c:ser>
        <c:ser>
          <c:idx val="1"/>
          <c:order val="1"/>
          <c:tx>
            <c:strRef>
              <c:f>'guadalupe16-8'!$P$1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'guadalupe16-8'!$P$2:$P$29</c:f>
              <c:numCache>
                <c:formatCode>0%</c:formatCode>
                <c:ptCount val="28"/>
                <c:pt idx="0">
                  <c:v>0.46666666666666667</c:v>
                </c:pt>
                <c:pt idx="1">
                  <c:v>0.56309523809523809</c:v>
                </c:pt>
                <c:pt idx="2">
                  <c:v>0.61000944287063263</c:v>
                </c:pt>
                <c:pt idx="3">
                  <c:v>0.65121759622937947</c:v>
                </c:pt>
                <c:pt idx="4">
                  <c:v>0.65927419354838701</c:v>
                </c:pt>
                <c:pt idx="5">
                  <c:v>0.67777777777777781</c:v>
                </c:pt>
                <c:pt idx="6">
                  <c:v>0.67020681945220795</c:v>
                </c:pt>
                <c:pt idx="7">
                  <c:v>0.68646694214876036</c:v>
                </c:pt>
                <c:pt idx="8">
                  <c:v>0.69691119691119696</c:v>
                </c:pt>
                <c:pt idx="9">
                  <c:v>0.70947176684881608</c:v>
                </c:pt>
                <c:pt idx="10">
                  <c:v>0.71755066839154813</c:v>
                </c:pt>
                <c:pt idx="11">
                  <c:v>0.7087845968712394</c:v>
                </c:pt>
                <c:pt idx="12">
                  <c:v>0.71450498848810429</c:v>
                </c:pt>
                <c:pt idx="13">
                  <c:v>0.71512481644640247</c:v>
                </c:pt>
                <c:pt idx="14">
                  <c:v>0.71378951024661341</c:v>
                </c:pt>
                <c:pt idx="15">
                  <c:v>0.72540431266846361</c:v>
                </c:pt>
                <c:pt idx="16">
                  <c:v>0.73344155844155845</c:v>
                </c:pt>
                <c:pt idx="17">
                  <c:v>0.72977146386658431</c:v>
                </c:pt>
                <c:pt idx="18">
                  <c:v>0.72192671394799057</c:v>
                </c:pt>
                <c:pt idx="19">
                  <c:v>0.73724117818606016</c:v>
                </c:pt>
                <c:pt idx="20">
                  <c:v>0.75125573269272772</c:v>
                </c:pt>
                <c:pt idx="21">
                  <c:v>0.76678383128295258</c:v>
                </c:pt>
                <c:pt idx="22">
                  <c:v>0.77054540050527565</c:v>
                </c:pt>
                <c:pt idx="23">
                  <c:v>0.78150393396104734</c:v>
                </c:pt>
                <c:pt idx="24">
                  <c:v>0.78013941263855557</c:v>
                </c:pt>
                <c:pt idx="25">
                  <c:v>0.78966408268733845</c:v>
                </c:pt>
                <c:pt idx="26">
                  <c:v>0.7904672897196261</c:v>
                </c:pt>
                <c:pt idx="27">
                  <c:v>0.79378967232801512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CD-634A-B498-03CB4DAFCAAE}"/>
            </c:ext>
          </c:extLst>
        </c:ser>
        <c:ser>
          <c:idx val="2"/>
          <c:order val="2"/>
          <c:tx>
            <c:strRef>
              <c:f>'guadalupe16-8'!$Q$1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'guadalupe16-8'!$Q$2:$Q$29</c:f>
              <c:numCache>
                <c:formatCode>0%</c:formatCode>
                <c:ptCount val="28"/>
                <c:pt idx="0">
                  <c:v>1.1037037037037036</c:v>
                </c:pt>
                <c:pt idx="1">
                  <c:v>1.2678571428571428</c:v>
                </c:pt>
                <c:pt idx="2">
                  <c:v>1.2842304060434371</c:v>
                </c:pt>
                <c:pt idx="3">
                  <c:v>1.2765121759622937</c:v>
                </c:pt>
                <c:pt idx="4">
                  <c:v>1.2190860215053763</c:v>
                </c:pt>
                <c:pt idx="5">
                  <c:v>1.2166666666666666</c:v>
                </c:pt>
                <c:pt idx="6">
                  <c:v>1.2168809390721071</c:v>
                </c:pt>
                <c:pt idx="7">
                  <c:v>1.2133264462809918</c:v>
                </c:pt>
                <c:pt idx="8">
                  <c:v>1.2239382239382239</c:v>
                </c:pt>
                <c:pt idx="9">
                  <c:v>1.2454462659380692</c:v>
                </c:pt>
                <c:pt idx="10">
                  <c:v>1.2225097024579561</c:v>
                </c:pt>
                <c:pt idx="11">
                  <c:v>1.1648616125150419</c:v>
                </c:pt>
                <c:pt idx="12">
                  <c:v>1.1903300076745968</c:v>
                </c:pt>
                <c:pt idx="13">
                  <c:v>1.154919236417034</c:v>
                </c:pt>
                <c:pt idx="14">
                  <c:v>1.1299062174366101</c:v>
                </c:pt>
                <c:pt idx="15">
                  <c:v>1.1401617250673852</c:v>
                </c:pt>
                <c:pt idx="16">
                  <c:v>1.130844155844156</c:v>
                </c:pt>
                <c:pt idx="17">
                  <c:v>1.1124150710315008</c:v>
                </c:pt>
                <c:pt idx="18">
                  <c:v>1.0859929078014185</c:v>
                </c:pt>
                <c:pt idx="19">
                  <c:v>1.1149023038786818</c:v>
                </c:pt>
                <c:pt idx="20">
                  <c:v>1.0220572177331295</c:v>
                </c:pt>
                <c:pt idx="21">
                  <c:v>0.96977152899824248</c:v>
                </c:pt>
                <c:pt idx="22">
                  <c:v>0.94115024520731161</c:v>
                </c:pt>
                <c:pt idx="23">
                  <c:v>0.91009931639365416</c:v>
                </c:pt>
                <c:pt idx="24">
                  <c:v>0.90172551708376181</c:v>
                </c:pt>
                <c:pt idx="25">
                  <c:v>0.86087855297157623</c:v>
                </c:pt>
                <c:pt idx="26">
                  <c:v>0.82056074766355136</c:v>
                </c:pt>
                <c:pt idx="27">
                  <c:v>0.79353233830845771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CD-634A-B498-03CB4DAFCAAE}"/>
            </c:ext>
          </c:extLst>
        </c:ser>
        <c:ser>
          <c:idx val="3"/>
          <c:order val="3"/>
          <c:tx>
            <c:strRef>
              <c:f>'guadalupe16-8'!$R$1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'guadalupe16-8'!$R$2:$R$29</c:f>
              <c:numCache>
                <c:formatCode>0%</c:formatCode>
                <c:ptCount val="28"/>
                <c:pt idx="0">
                  <c:v>0.47592592592592592</c:v>
                </c:pt>
                <c:pt idx="1">
                  <c:v>0.56190476190476191</c:v>
                </c:pt>
                <c:pt idx="2">
                  <c:v>0.60339943342776203</c:v>
                </c:pt>
                <c:pt idx="3">
                  <c:v>0.64886095836606439</c:v>
                </c:pt>
                <c:pt idx="4">
                  <c:v>0.63844086021505375</c:v>
                </c:pt>
                <c:pt idx="5">
                  <c:v>0.64629629629629637</c:v>
                </c:pt>
                <c:pt idx="6">
                  <c:v>0.64114030184460591</c:v>
                </c:pt>
                <c:pt idx="7">
                  <c:v>0.65547520661157033</c:v>
                </c:pt>
                <c:pt idx="8">
                  <c:v>0.63658301158301167</c:v>
                </c:pt>
                <c:pt idx="9">
                  <c:v>0.6634790528233151</c:v>
                </c:pt>
                <c:pt idx="10">
                  <c:v>0.65286761535144455</c:v>
                </c:pt>
                <c:pt idx="11">
                  <c:v>0.64620938628158842</c:v>
                </c:pt>
                <c:pt idx="12">
                  <c:v>0.64198004604758252</c:v>
                </c:pt>
                <c:pt idx="13">
                  <c:v>0.64500734214390598</c:v>
                </c:pt>
                <c:pt idx="14">
                  <c:v>0.63146926015977778</c:v>
                </c:pt>
                <c:pt idx="15">
                  <c:v>0.63948787061994605</c:v>
                </c:pt>
                <c:pt idx="16">
                  <c:v>0.63863636363636356</c:v>
                </c:pt>
                <c:pt idx="17">
                  <c:v>0.62909203211859166</c:v>
                </c:pt>
                <c:pt idx="18">
                  <c:v>0.61317966903073295</c:v>
                </c:pt>
                <c:pt idx="19">
                  <c:v>0.62321376494604841</c:v>
                </c:pt>
                <c:pt idx="20">
                  <c:v>0.60449879886438096</c:v>
                </c:pt>
                <c:pt idx="21">
                  <c:v>0.58312829525483301</c:v>
                </c:pt>
                <c:pt idx="22">
                  <c:v>0.57437955119631445</c:v>
                </c:pt>
                <c:pt idx="23">
                  <c:v>0.56326583258093643</c:v>
                </c:pt>
                <c:pt idx="24">
                  <c:v>0.55479373785853048</c:v>
                </c:pt>
                <c:pt idx="25">
                  <c:v>0.54759689922480614</c:v>
                </c:pt>
                <c:pt idx="26">
                  <c:v>0.54186915887850462</c:v>
                </c:pt>
                <c:pt idx="27">
                  <c:v>0.53396809058157491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CD-634A-B498-03CB4DAFC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aseline="0"/>
              <a:t>Guadalupe-16 (gadgets have max 8 legs)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'guadalupe16-8legs'!$O$1</c:f>
              <c:strCache>
                <c:ptCount val="1"/>
                <c:pt idx="0">
                  <c:v>steiner-gray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'guadalupe16-8legs'!$O$2:$O$29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1-E043-AC97-4D581D918294}"/>
            </c:ext>
          </c:extLst>
        </c:ser>
        <c:ser>
          <c:idx val="1"/>
          <c:order val="1"/>
          <c:tx>
            <c:strRef>
              <c:f>'guadalupe16-8legs'!$P$1</c:f>
              <c:strCache>
                <c:ptCount val="1"/>
                <c:pt idx="0">
                  <c:v>sg+mapping</c:v>
                </c:pt>
              </c:strCache>
            </c:strRef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'guadalupe16-8legs'!$P$2:$P$29</c:f>
              <c:numCache>
                <c:formatCode>0%</c:formatCode>
                <c:ptCount val="28"/>
                <c:pt idx="0">
                  <c:v>0.54487179487179493</c:v>
                </c:pt>
                <c:pt idx="1">
                  <c:v>0.67947516401124641</c:v>
                </c:pt>
                <c:pt idx="2">
                  <c:v>0.74400518470511978</c:v>
                </c:pt>
                <c:pt idx="3">
                  <c:v>0.81437125748503003</c:v>
                </c:pt>
                <c:pt idx="4">
                  <c:v>0.86337543053960963</c:v>
                </c:pt>
                <c:pt idx="5">
                  <c:v>0.93676277850589773</c:v>
                </c:pt>
                <c:pt idx="6">
                  <c:v>0.92471843509187912</c:v>
                </c:pt>
                <c:pt idx="7">
                  <c:v>0.94346568498553773</c:v>
                </c:pt>
                <c:pt idx="8">
                  <c:v>0.94686346863468629</c:v>
                </c:pt>
                <c:pt idx="9">
                  <c:v>0.95301558617573978</c:v>
                </c:pt>
                <c:pt idx="10">
                  <c:v>0.95073576455534237</c:v>
                </c:pt>
                <c:pt idx="11">
                  <c:v>0.96722979849379198</c:v>
                </c:pt>
                <c:pt idx="12">
                  <c:v>0.97556245151280063</c:v>
                </c:pt>
                <c:pt idx="13">
                  <c:v>0.96648148148148139</c:v>
                </c:pt>
                <c:pt idx="14">
                  <c:v>0.97817285689139244</c:v>
                </c:pt>
                <c:pt idx="15">
                  <c:v>0.97298210064167512</c:v>
                </c:pt>
                <c:pt idx="16">
                  <c:v>0.96984023475709158</c:v>
                </c:pt>
                <c:pt idx="17">
                  <c:v>0.96677115987460804</c:v>
                </c:pt>
                <c:pt idx="18">
                  <c:v>0.97512589653593784</c:v>
                </c:pt>
                <c:pt idx="19">
                  <c:v>0.97766932860100564</c:v>
                </c:pt>
                <c:pt idx="20">
                  <c:v>0.98110691264725491</c:v>
                </c:pt>
                <c:pt idx="21">
                  <c:v>0.97864672493017391</c:v>
                </c:pt>
                <c:pt idx="22">
                  <c:v>0.98265151515151505</c:v>
                </c:pt>
                <c:pt idx="23">
                  <c:v>0.98526343244653114</c:v>
                </c:pt>
                <c:pt idx="24">
                  <c:v>0.9843920981397225</c:v>
                </c:pt>
                <c:pt idx="25">
                  <c:v>0.98283963227783455</c:v>
                </c:pt>
                <c:pt idx="26">
                  <c:v>0.98667160310995916</c:v>
                </c:pt>
                <c:pt idx="27">
                  <c:v>0.98848004050974758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91-E043-AC97-4D581D918294}"/>
            </c:ext>
          </c:extLst>
        </c:ser>
        <c:ser>
          <c:idx val="2"/>
          <c:order val="2"/>
          <c:tx>
            <c:strRef>
              <c:f>'guadalupe16-8legs'!$Q$1</c:f>
              <c:strCache>
                <c:ptCount val="1"/>
                <c:pt idx="0">
                  <c:v>dynamic ordering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'guadalupe16-8legs'!$Q$2:$Q$29</c:f>
              <c:numCache>
                <c:formatCode>0%</c:formatCode>
                <c:ptCount val="28"/>
                <c:pt idx="0">
                  <c:v>1.0977564102564104</c:v>
                </c:pt>
                <c:pt idx="1">
                  <c:v>1.2230552952202436</c:v>
                </c:pt>
                <c:pt idx="2">
                  <c:v>1.1166558651976668</c:v>
                </c:pt>
                <c:pt idx="3">
                  <c:v>1.0267157991708891</c:v>
                </c:pt>
                <c:pt idx="4">
                  <c:v>0.9866054343666284</c:v>
                </c:pt>
                <c:pt idx="5">
                  <c:v>0.96657929226736572</c:v>
                </c:pt>
                <c:pt idx="6">
                  <c:v>0.96058091286307068</c:v>
                </c:pt>
                <c:pt idx="7">
                  <c:v>0.94662108861425187</c:v>
                </c:pt>
                <c:pt idx="8">
                  <c:v>0.95079950799507995</c:v>
                </c:pt>
                <c:pt idx="9">
                  <c:v>0.93268579173255028</c:v>
                </c:pt>
                <c:pt idx="10">
                  <c:v>0.92386436340371081</c:v>
                </c:pt>
                <c:pt idx="11">
                  <c:v>0.92061876653775698</c:v>
                </c:pt>
                <c:pt idx="12">
                  <c:v>0.92145073700543056</c:v>
                </c:pt>
                <c:pt idx="13">
                  <c:v>0.9118518518518518</c:v>
                </c:pt>
                <c:pt idx="14">
                  <c:v>0.91269142756556942</c:v>
                </c:pt>
                <c:pt idx="15">
                  <c:v>0.90408645727794656</c:v>
                </c:pt>
                <c:pt idx="16">
                  <c:v>0.89941310727094892</c:v>
                </c:pt>
                <c:pt idx="17">
                  <c:v>0.89482758620689651</c:v>
                </c:pt>
                <c:pt idx="18">
                  <c:v>0.89729894704715407</c:v>
                </c:pt>
                <c:pt idx="19">
                  <c:v>0.89352262644188107</c:v>
                </c:pt>
                <c:pt idx="20">
                  <c:v>0.86674816625916873</c:v>
                </c:pt>
                <c:pt idx="21">
                  <c:v>0.85602306514100368</c:v>
                </c:pt>
                <c:pt idx="22">
                  <c:v>0.84484848484848485</c:v>
                </c:pt>
                <c:pt idx="23">
                  <c:v>0.83946270213875862</c:v>
                </c:pt>
                <c:pt idx="24">
                  <c:v>0.83349651557910509</c:v>
                </c:pt>
                <c:pt idx="25">
                  <c:v>0.82691521961184877</c:v>
                </c:pt>
                <c:pt idx="26">
                  <c:v>0.82349129951869671</c:v>
                </c:pt>
                <c:pt idx="27">
                  <c:v>0.81871887923031472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91-E043-AC97-4D581D918294}"/>
            </c:ext>
          </c:extLst>
        </c:ser>
        <c:ser>
          <c:idx val="3"/>
          <c:order val="3"/>
          <c:tx>
            <c:strRef>
              <c:f>'guadalupe16-8legs'!$R$1</c:f>
              <c:strCache>
                <c:ptCount val="1"/>
                <c:pt idx="0">
                  <c:v>do+mapping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'guadalupe16-8legs'!$A$2:$A$29</c:f>
              <c:numCache>
                <c:formatCode>General</c:formatCode>
                <c:ptCount val="28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60</c:v>
                </c:pt>
                <c:pt idx="21">
                  <c:v>80</c:v>
                </c:pt>
                <c:pt idx="22">
                  <c:v>100</c:v>
                </c:pt>
                <c:pt idx="23">
                  <c:v>120</c:v>
                </c:pt>
                <c:pt idx="24">
                  <c:v>140</c:v>
                </c:pt>
                <c:pt idx="25">
                  <c:v>160</c:v>
                </c:pt>
                <c:pt idx="26">
                  <c:v>180</c:v>
                </c:pt>
                <c:pt idx="27">
                  <c:v>200</c:v>
                </c:pt>
              </c:numCache>
            </c:numRef>
          </c:cat>
          <c:val>
            <c:numRef>
              <c:f>'guadalupe16-8legs'!$R$2:$R$29</c:f>
              <c:numCache>
                <c:formatCode>0%</c:formatCode>
                <c:ptCount val="28"/>
                <c:pt idx="0">
                  <c:v>0.54006410256410264</c:v>
                </c:pt>
                <c:pt idx="1">
                  <c:v>0.68791002811621371</c:v>
                </c:pt>
                <c:pt idx="2">
                  <c:v>0.77900194426441993</c:v>
                </c:pt>
                <c:pt idx="3">
                  <c:v>0.79087977890373096</c:v>
                </c:pt>
                <c:pt idx="4">
                  <c:v>0.82089552238805963</c:v>
                </c:pt>
                <c:pt idx="5">
                  <c:v>0.85124508519003939</c:v>
                </c:pt>
                <c:pt idx="6">
                  <c:v>0.87018375815056326</c:v>
                </c:pt>
                <c:pt idx="7">
                  <c:v>0.85721798580068365</c:v>
                </c:pt>
                <c:pt idx="8">
                  <c:v>0.85904059040590408</c:v>
                </c:pt>
                <c:pt idx="9">
                  <c:v>0.86717867630449508</c:v>
                </c:pt>
                <c:pt idx="10">
                  <c:v>0.87182768180848802</c:v>
                </c:pt>
                <c:pt idx="11">
                  <c:v>0.88337064929778142</c:v>
                </c:pt>
                <c:pt idx="12">
                  <c:v>0.88809154383242817</c:v>
                </c:pt>
                <c:pt idx="13">
                  <c:v>0.8792592592592593</c:v>
                </c:pt>
                <c:pt idx="14">
                  <c:v>0.88188699172680862</c:v>
                </c:pt>
                <c:pt idx="15">
                  <c:v>0.87605538669368443</c:v>
                </c:pt>
                <c:pt idx="16">
                  <c:v>0.87088359960873829</c:v>
                </c:pt>
                <c:pt idx="17">
                  <c:v>0.86551724137931041</c:v>
                </c:pt>
                <c:pt idx="18">
                  <c:v>0.87318785289180545</c:v>
                </c:pt>
                <c:pt idx="19">
                  <c:v>0.86202307009760415</c:v>
                </c:pt>
                <c:pt idx="20">
                  <c:v>0.84985552344965554</c:v>
                </c:pt>
                <c:pt idx="21">
                  <c:v>0.8380935219389134</c:v>
                </c:pt>
                <c:pt idx="22">
                  <c:v>0.83030303030303032</c:v>
                </c:pt>
                <c:pt idx="23">
                  <c:v>0.82707355242566516</c:v>
                </c:pt>
                <c:pt idx="24">
                  <c:v>0.82370558083280543</c:v>
                </c:pt>
                <c:pt idx="25">
                  <c:v>0.81777323799795709</c:v>
                </c:pt>
                <c:pt idx="26">
                  <c:v>0.81650314698259896</c:v>
                </c:pt>
                <c:pt idx="27">
                  <c:v>0.81344417250400869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91-E043-AC97-4D581D918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835520"/>
        <c:axId val="631765744"/>
      </c:lineChart>
      <c:catAx>
        <c:axId val="6318355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 baseline="0"/>
                  <a:t>Gadgets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765744"/>
        <c:crosses val="autoZero"/>
        <c:auto val="1"/>
        <c:lblAlgn val="ctr"/>
        <c:lblOffset val="100"/>
        <c:noMultiLvlLbl val="0"/>
      </c:catAx>
      <c:valAx>
        <c:axId val="631765744"/>
        <c:scaling>
          <c:orientation val="minMax"/>
          <c:max val="1.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183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520700</xdr:colOff>
      <xdr:row>9</xdr:row>
      <xdr:rowOff>88900</xdr:rowOff>
    </xdr:from>
    <xdr:to>
      <xdr:col>25</xdr:col>
      <xdr:colOff>508000</xdr:colOff>
      <xdr:row>37</xdr:row>
      <xdr:rowOff>184150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591B87-4DFA-D7AF-9432-244B1870F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5</xdr:row>
      <xdr:rowOff>88900</xdr:rowOff>
    </xdr:from>
    <xdr:to>
      <xdr:col>18</xdr:col>
      <xdr:colOff>444500</xdr:colOff>
      <xdr:row>33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037AE4-E1B9-5D48-8015-86E5FFDC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6</xdr:row>
      <xdr:rowOff>12700</xdr:rowOff>
    </xdr:from>
    <xdr:to>
      <xdr:col>24</xdr:col>
      <xdr:colOff>393700</xdr:colOff>
      <xdr:row>34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418264-29CF-184E-B8F4-0121697A0B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3</xdr:row>
      <xdr:rowOff>25400</xdr:rowOff>
    </xdr:from>
    <xdr:to>
      <xdr:col>16</xdr:col>
      <xdr:colOff>368300</xdr:colOff>
      <xdr:row>31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E9C460-6B38-D647-994F-56735FBA5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152400</xdr:colOff>
      <xdr:row>8</xdr:row>
      <xdr:rowOff>12700</xdr:rowOff>
    </xdr:from>
    <xdr:to>
      <xdr:col>18</xdr:col>
      <xdr:colOff>139700</xdr:colOff>
      <xdr:row>36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FEF4B-C8B6-D94D-8226-38619F8EA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723900</xdr:colOff>
      <xdr:row>7</xdr:row>
      <xdr:rowOff>139700</xdr:rowOff>
    </xdr:from>
    <xdr:to>
      <xdr:col>18</xdr:col>
      <xdr:colOff>711200</xdr:colOff>
      <xdr:row>36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40BB76-E7E4-154A-B258-90473A9C47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152400</xdr:rowOff>
    </xdr:from>
    <xdr:to>
      <xdr:col>15</xdr:col>
      <xdr:colOff>812800</xdr:colOff>
      <xdr:row>31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A5150-950B-6F43-B22F-6CE5F91D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CF18-5131-0846-91EB-6262D6E37819}">
  <dimension ref="A1:R33"/>
  <sheetViews>
    <sheetView workbookViewId="0">
      <selection activeCell="L29" sqref="L29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16.399999999999999</v>
      </c>
      <c r="C2" s="2">
        <v>1.1000000000000001</v>
      </c>
      <c r="D2" s="2">
        <v>13.5</v>
      </c>
      <c r="E2" s="2">
        <v>1</v>
      </c>
      <c r="F2" s="2">
        <v>16.2</v>
      </c>
      <c r="G2" s="2">
        <v>2.5</v>
      </c>
      <c r="H2" s="2">
        <v>12.2</v>
      </c>
      <c r="I2" s="2">
        <v>2.4</v>
      </c>
      <c r="J2" s="2">
        <v>-17.7</v>
      </c>
      <c r="K2" s="2">
        <v>-1.2</v>
      </c>
      <c r="L2" s="2">
        <v>-24.7</v>
      </c>
      <c r="M2" s="2">
        <v>127.3</v>
      </c>
      <c r="O2">
        <v>1</v>
      </c>
      <c r="P2" s="1">
        <f t="shared" ref="P2:P29" si="0">D2/B2</f>
        <v>0.82317073170731714</v>
      </c>
      <c r="Q2" s="1">
        <f t="shared" ref="Q2:Q29" si="1">F2/B2</f>
        <v>0.98780487804878048</v>
      </c>
      <c r="R2" s="1">
        <f t="shared" ref="R2:R29" si="2">H2/B2</f>
        <v>0.74390243902439024</v>
      </c>
    </row>
    <row r="3" spans="1:18" x14ac:dyDescent="0.2">
      <c r="A3">
        <v>4</v>
      </c>
      <c r="B3" s="2">
        <v>28.8</v>
      </c>
      <c r="C3" s="2">
        <v>1.8</v>
      </c>
      <c r="D3" s="2">
        <v>25.1</v>
      </c>
      <c r="E3" s="2">
        <v>1.7</v>
      </c>
      <c r="F3" s="2">
        <v>25.8</v>
      </c>
      <c r="G3" s="2">
        <v>3.1</v>
      </c>
      <c r="H3" s="2">
        <v>21.8</v>
      </c>
      <c r="I3" s="2">
        <v>2.9</v>
      </c>
      <c r="J3" s="2">
        <v>-12.8</v>
      </c>
      <c r="K3" s="2">
        <v>-10.4</v>
      </c>
      <c r="L3" s="2">
        <v>-15.5</v>
      </c>
      <c r="M3" s="2">
        <v>72.2</v>
      </c>
      <c r="O3">
        <v>1</v>
      </c>
      <c r="P3" s="1">
        <f t="shared" si="0"/>
        <v>0.87152777777777779</v>
      </c>
      <c r="Q3" s="1">
        <f t="shared" si="1"/>
        <v>0.89583333333333337</v>
      </c>
      <c r="R3" s="1">
        <f t="shared" si="2"/>
        <v>0.75694444444444442</v>
      </c>
    </row>
    <row r="4" spans="1:18" x14ac:dyDescent="0.2">
      <c r="A4">
        <v>6</v>
      </c>
      <c r="B4" s="2">
        <v>38.799999999999997</v>
      </c>
      <c r="C4" s="2">
        <v>2.5</v>
      </c>
      <c r="D4" s="2">
        <v>35.4</v>
      </c>
      <c r="E4" s="2">
        <v>2.2999999999999998</v>
      </c>
      <c r="F4" s="2">
        <v>34</v>
      </c>
      <c r="G4" s="2">
        <v>3.9</v>
      </c>
      <c r="H4" s="2">
        <v>29.8</v>
      </c>
      <c r="I4" s="2">
        <v>3.4</v>
      </c>
      <c r="J4" s="2">
        <v>-8.8000000000000007</v>
      </c>
      <c r="K4" s="2">
        <v>-12.4</v>
      </c>
      <c r="L4" s="2">
        <v>-12.4</v>
      </c>
      <c r="M4" s="2">
        <v>56</v>
      </c>
      <c r="O4">
        <v>1</v>
      </c>
      <c r="P4" s="1">
        <f t="shared" si="0"/>
        <v>0.91237113402061853</v>
      </c>
      <c r="Q4" s="1">
        <f t="shared" si="1"/>
        <v>0.87628865979381454</v>
      </c>
      <c r="R4" s="1">
        <f t="shared" si="2"/>
        <v>0.76804123711340211</v>
      </c>
    </row>
    <row r="5" spans="1:18" x14ac:dyDescent="0.2">
      <c r="A5">
        <v>8</v>
      </c>
      <c r="B5" s="2">
        <v>47.3</v>
      </c>
      <c r="C5" s="2">
        <v>3</v>
      </c>
      <c r="D5" s="2">
        <v>45.3</v>
      </c>
      <c r="E5" s="2">
        <v>3</v>
      </c>
      <c r="F5" s="2">
        <v>41.2</v>
      </c>
      <c r="G5" s="2">
        <v>4.3</v>
      </c>
      <c r="H5" s="2">
        <v>37.1</v>
      </c>
      <c r="I5" s="2">
        <v>4</v>
      </c>
      <c r="J5" s="2">
        <v>-4.2</v>
      </c>
      <c r="K5" s="2">
        <v>-12.9</v>
      </c>
      <c r="L5" s="2">
        <v>-10</v>
      </c>
      <c r="M5" s="2">
        <v>43.3</v>
      </c>
      <c r="O5">
        <v>1</v>
      </c>
      <c r="P5" s="1">
        <f t="shared" si="0"/>
        <v>0.95771670190274838</v>
      </c>
      <c r="Q5" s="1">
        <f t="shared" si="1"/>
        <v>0.87103594080338276</v>
      </c>
      <c r="R5" s="1">
        <f t="shared" si="2"/>
        <v>0.78435517970401702</v>
      </c>
    </row>
    <row r="6" spans="1:18" x14ac:dyDescent="0.2">
      <c r="A6">
        <v>10</v>
      </c>
      <c r="B6" s="2">
        <v>55.3</v>
      </c>
      <c r="C6" s="2">
        <v>3.9</v>
      </c>
      <c r="D6" s="2">
        <v>51.8</v>
      </c>
      <c r="E6" s="2">
        <v>3.5</v>
      </c>
      <c r="F6" s="2">
        <v>46.2</v>
      </c>
      <c r="G6" s="2">
        <v>4.8</v>
      </c>
      <c r="H6" s="2">
        <v>42.9</v>
      </c>
      <c r="I6" s="2">
        <v>4.5999999999999996</v>
      </c>
      <c r="J6" s="2">
        <v>-6.3</v>
      </c>
      <c r="K6" s="2">
        <v>-16.5</v>
      </c>
      <c r="L6" s="2">
        <v>-7.1</v>
      </c>
      <c r="M6" s="2">
        <v>23.1</v>
      </c>
      <c r="O6">
        <v>1</v>
      </c>
      <c r="P6" s="1">
        <f t="shared" si="0"/>
        <v>0.93670886075949367</v>
      </c>
      <c r="Q6" s="1">
        <f t="shared" si="1"/>
        <v>0.83544303797468367</v>
      </c>
      <c r="R6" s="1">
        <f t="shared" si="2"/>
        <v>0.77576853526220613</v>
      </c>
    </row>
    <row r="7" spans="1:18" x14ac:dyDescent="0.2">
      <c r="A7">
        <v>12</v>
      </c>
      <c r="B7" s="2">
        <v>61.8</v>
      </c>
      <c r="C7" s="2">
        <v>4.4000000000000004</v>
      </c>
      <c r="D7" s="2">
        <v>59.4</v>
      </c>
      <c r="E7" s="2">
        <v>4.3</v>
      </c>
      <c r="F7" s="2">
        <v>52.2</v>
      </c>
      <c r="G7" s="2">
        <v>5.5</v>
      </c>
      <c r="H7" s="2">
        <v>48.4</v>
      </c>
      <c r="I7" s="2">
        <v>5.4</v>
      </c>
      <c r="J7" s="2">
        <v>-3.9</v>
      </c>
      <c r="K7" s="2">
        <v>-15.5</v>
      </c>
      <c r="L7" s="2">
        <v>-7.3</v>
      </c>
      <c r="M7" s="2">
        <v>25</v>
      </c>
      <c r="O7">
        <v>1</v>
      </c>
      <c r="P7" s="1">
        <f t="shared" si="0"/>
        <v>0.96116504854368934</v>
      </c>
      <c r="Q7" s="1">
        <f t="shared" si="1"/>
        <v>0.84466019417475735</v>
      </c>
      <c r="R7" s="1">
        <f t="shared" si="2"/>
        <v>0.78317152103559873</v>
      </c>
    </row>
    <row r="8" spans="1:18" x14ac:dyDescent="0.2">
      <c r="A8">
        <v>14</v>
      </c>
      <c r="B8" s="2">
        <v>68.3</v>
      </c>
      <c r="C8" s="2">
        <v>5.0999999999999996</v>
      </c>
      <c r="D8" s="2">
        <v>66.099999999999994</v>
      </c>
      <c r="E8" s="2">
        <v>5</v>
      </c>
      <c r="F8" s="2">
        <v>57.2</v>
      </c>
      <c r="G8" s="2">
        <v>6</v>
      </c>
      <c r="H8" s="2">
        <v>54.2</v>
      </c>
      <c r="I8" s="2">
        <v>5.7</v>
      </c>
      <c r="J8" s="2">
        <v>-3.2</v>
      </c>
      <c r="K8" s="2">
        <v>-16.3</v>
      </c>
      <c r="L8" s="2">
        <v>-5.2</v>
      </c>
      <c r="M8" s="2">
        <v>17.600000000000001</v>
      </c>
      <c r="O8">
        <v>1</v>
      </c>
      <c r="P8" s="1">
        <f t="shared" si="0"/>
        <v>0.96778916544655924</v>
      </c>
      <c r="Q8" s="1">
        <f t="shared" si="1"/>
        <v>0.8374816983894583</v>
      </c>
      <c r="R8" s="1">
        <f t="shared" si="2"/>
        <v>0.79355783308931194</v>
      </c>
    </row>
    <row r="9" spans="1:18" x14ac:dyDescent="0.2">
      <c r="A9">
        <v>16</v>
      </c>
      <c r="B9" s="2">
        <v>75</v>
      </c>
      <c r="C9" s="2">
        <v>5.6</v>
      </c>
      <c r="D9" s="2">
        <v>72</v>
      </c>
      <c r="E9" s="2">
        <v>5.4</v>
      </c>
      <c r="F9" s="2">
        <v>61</v>
      </c>
      <c r="G9" s="2">
        <v>6.5</v>
      </c>
      <c r="H9" s="2">
        <v>58.1</v>
      </c>
      <c r="I9" s="2">
        <v>6.4</v>
      </c>
      <c r="J9" s="2">
        <v>-4</v>
      </c>
      <c r="K9" s="2">
        <v>-18.7</v>
      </c>
      <c r="L9" s="2">
        <v>-4.8</v>
      </c>
      <c r="M9" s="2">
        <v>16.100000000000001</v>
      </c>
      <c r="O9">
        <v>1</v>
      </c>
      <c r="P9" s="1">
        <f t="shared" si="0"/>
        <v>0.96</v>
      </c>
      <c r="Q9" s="1">
        <f t="shared" si="1"/>
        <v>0.81333333333333335</v>
      </c>
      <c r="R9" s="1">
        <f t="shared" si="2"/>
        <v>0.77466666666666673</v>
      </c>
    </row>
    <row r="10" spans="1:18" x14ac:dyDescent="0.2">
      <c r="A10">
        <v>18</v>
      </c>
      <c r="B10" s="2">
        <v>81.400000000000006</v>
      </c>
      <c r="C10" s="2">
        <v>6.5</v>
      </c>
      <c r="D10" s="2">
        <v>79.099999999999994</v>
      </c>
      <c r="E10" s="2">
        <v>6.4</v>
      </c>
      <c r="F10" s="2">
        <v>66</v>
      </c>
      <c r="G10" s="2">
        <v>7.2</v>
      </c>
      <c r="H10" s="2">
        <v>63.4</v>
      </c>
      <c r="I10" s="2">
        <v>7.4</v>
      </c>
      <c r="J10" s="2">
        <v>-2.8</v>
      </c>
      <c r="K10" s="2">
        <v>-18.899999999999999</v>
      </c>
      <c r="L10" s="2">
        <v>-3.9</v>
      </c>
      <c r="M10" s="2">
        <v>10.8</v>
      </c>
      <c r="O10">
        <v>1</v>
      </c>
      <c r="P10" s="1">
        <f t="shared" si="0"/>
        <v>0.97174447174447165</v>
      </c>
      <c r="Q10" s="1">
        <f t="shared" si="1"/>
        <v>0.81081081081081074</v>
      </c>
      <c r="R10" s="1">
        <f t="shared" si="2"/>
        <v>0.77886977886977882</v>
      </c>
    </row>
    <row r="11" spans="1:18" x14ac:dyDescent="0.2">
      <c r="A11">
        <v>20</v>
      </c>
      <c r="B11" s="2">
        <v>88.6</v>
      </c>
      <c r="C11" s="2">
        <v>7.4</v>
      </c>
      <c r="D11" s="2">
        <v>85.8</v>
      </c>
      <c r="E11" s="2">
        <v>7.3</v>
      </c>
      <c r="F11" s="2">
        <v>71.400000000000006</v>
      </c>
      <c r="G11" s="2">
        <v>8.1</v>
      </c>
      <c r="H11" s="2">
        <v>68.7</v>
      </c>
      <c r="I11" s="2">
        <v>8</v>
      </c>
      <c r="J11" s="2">
        <v>-3.2</v>
      </c>
      <c r="K11" s="2">
        <v>-19.399999999999999</v>
      </c>
      <c r="L11" s="2">
        <v>-3.8</v>
      </c>
      <c r="M11" s="2">
        <v>9.5</v>
      </c>
      <c r="O11">
        <v>1</v>
      </c>
      <c r="P11" s="1">
        <f t="shared" si="0"/>
        <v>0.96839729119638829</v>
      </c>
      <c r="Q11" s="1">
        <f t="shared" si="1"/>
        <v>0.80586907449209944</v>
      </c>
      <c r="R11" s="1">
        <f t="shared" si="2"/>
        <v>0.77539503386004527</v>
      </c>
    </row>
    <row r="12" spans="1:18" x14ac:dyDescent="0.2">
      <c r="A12">
        <v>22</v>
      </c>
      <c r="B12" s="2">
        <v>93.5</v>
      </c>
      <c r="C12" s="2">
        <v>8.1999999999999993</v>
      </c>
      <c r="D12" s="2">
        <v>91.3</v>
      </c>
      <c r="E12" s="2">
        <v>8.1</v>
      </c>
      <c r="F12" s="2">
        <v>74.099999999999994</v>
      </c>
      <c r="G12" s="2">
        <v>9</v>
      </c>
      <c r="H12" s="2">
        <v>72.400000000000006</v>
      </c>
      <c r="I12" s="2">
        <v>8.4</v>
      </c>
      <c r="J12" s="2">
        <v>-2.4</v>
      </c>
      <c r="K12" s="2">
        <v>-20.7</v>
      </c>
      <c r="L12" s="2">
        <v>-2.2999999999999998</v>
      </c>
      <c r="M12" s="2">
        <v>9.8000000000000007</v>
      </c>
      <c r="O12">
        <v>1</v>
      </c>
      <c r="P12" s="1">
        <f t="shared" si="0"/>
        <v>0.97647058823529409</v>
      </c>
      <c r="Q12" s="1">
        <f t="shared" si="1"/>
        <v>0.79251336898395719</v>
      </c>
      <c r="R12" s="1">
        <f t="shared" si="2"/>
        <v>0.77433155080213911</v>
      </c>
    </row>
    <row r="13" spans="1:18" x14ac:dyDescent="0.2">
      <c r="A13">
        <v>24</v>
      </c>
      <c r="B13" s="2">
        <v>98.2</v>
      </c>
      <c r="C13" s="2">
        <v>9</v>
      </c>
      <c r="D13" s="2">
        <v>94.9</v>
      </c>
      <c r="E13" s="2">
        <v>8.8000000000000007</v>
      </c>
      <c r="F13" s="2">
        <v>76.900000000000006</v>
      </c>
      <c r="G13" s="2">
        <v>9.4</v>
      </c>
      <c r="H13" s="2">
        <v>74.2</v>
      </c>
      <c r="I13" s="2">
        <v>9.6</v>
      </c>
      <c r="J13" s="2">
        <v>-3.4</v>
      </c>
      <c r="K13" s="2">
        <v>-21.7</v>
      </c>
      <c r="L13" s="2">
        <v>-3.5</v>
      </c>
      <c r="M13" s="2">
        <v>4.4000000000000004</v>
      </c>
      <c r="O13">
        <v>1</v>
      </c>
      <c r="P13" s="1">
        <f t="shared" si="0"/>
        <v>0.96639511201629336</v>
      </c>
      <c r="Q13" s="1">
        <f t="shared" si="1"/>
        <v>0.78309572301425667</v>
      </c>
      <c r="R13" s="1">
        <f t="shared" si="2"/>
        <v>0.75560081466395113</v>
      </c>
    </row>
    <row r="14" spans="1:18" x14ac:dyDescent="0.2">
      <c r="A14">
        <v>26</v>
      </c>
      <c r="B14" s="2">
        <v>103.7</v>
      </c>
      <c r="C14" s="2">
        <v>9.9</v>
      </c>
      <c r="D14" s="2">
        <v>101.9</v>
      </c>
      <c r="E14" s="2">
        <v>9.6</v>
      </c>
      <c r="F14" s="2">
        <v>81.8</v>
      </c>
      <c r="G14" s="2">
        <v>9.9</v>
      </c>
      <c r="H14" s="2">
        <v>79</v>
      </c>
      <c r="I14" s="2">
        <v>9.8000000000000007</v>
      </c>
      <c r="J14" s="2">
        <v>-1.7</v>
      </c>
      <c r="K14" s="2">
        <v>-21.1</v>
      </c>
      <c r="L14" s="2">
        <v>-3.4</v>
      </c>
      <c r="M14" s="2">
        <v>0</v>
      </c>
      <c r="O14">
        <v>1</v>
      </c>
      <c r="P14" s="1">
        <f t="shared" si="0"/>
        <v>0.98264223722275801</v>
      </c>
      <c r="Q14" s="1">
        <f t="shared" si="1"/>
        <v>0.78881388621022175</v>
      </c>
      <c r="R14" s="1">
        <f t="shared" si="2"/>
        <v>0.76181292189006744</v>
      </c>
    </row>
    <row r="15" spans="1:18" x14ac:dyDescent="0.2">
      <c r="A15">
        <v>28</v>
      </c>
      <c r="B15" s="2">
        <v>110.6</v>
      </c>
      <c r="C15" s="2">
        <v>11</v>
      </c>
      <c r="D15" s="2">
        <v>108.2</v>
      </c>
      <c r="E15" s="2">
        <v>11</v>
      </c>
      <c r="F15" s="2">
        <v>85.2</v>
      </c>
      <c r="G15" s="2">
        <v>11.4</v>
      </c>
      <c r="H15" s="2">
        <v>82.8</v>
      </c>
      <c r="I15" s="2">
        <v>10.5</v>
      </c>
      <c r="J15" s="2">
        <v>-2.2000000000000002</v>
      </c>
      <c r="K15" s="2">
        <v>-23</v>
      </c>
      <c r="L15" s="2">
        <v>-2.8</v>
      </c>
      <c r="M15" s="2">
        <v>3.6</v>
      </c>
      <c r="O15">
        <v>1</v>
      </c>
      <c r="P15" s="1">
        <f t="shared" si="0"/>
        <v>0.97830018083182646</v>
      </c>
      <c r="Q15" s="1">
        <f t="shared" si="1"/>
        <v>0.77034358047016283</v>
      </c>
      <c r="R15" s="1">
        <f t="shared" si="2"/>
        <v>0.74864376130198917</v>
      </c>
    </row>
    <row r="16" spans="1:18" x14ac:dyDescent="0.2">
      <c r="A16">
        <v>30</v>
      </c>
      <c r="B16" s="2">
        <v>115.3</v>
      </c>
      <c r="C16" s="2">
        <v>12.3</v>
      </c>
      <c r="D16" s="2">
        <v>112.3</v>
      </c>
      <c r="E16" s="2">
        <v>12</v>
      </c>
      <c r="F16" s="2">
        <v>87.9</v>
      </c>
      <c r="G16" s="2">
        <v>11.9</v>
      </c>
      <c r="H16" s="2">
        <v>85.9</v>
      </c>
      <c r="I16" s="2">
        <v>12.2</v>
      </c>
      <c r="J16" s="2">
        <v>-2.6</v>
      </c>
      <c r="K16" s="2">
        <v>-23.8</v>
      </c>
      <c r="L16" s="2">
        <v>-2.2999999999999998</v>
      </c>
      <c r="M16" s="2">
        <v>-3.3</v>
      </c>
      <c r="O16">
        <v>1</v>
      </c>
      <c r="P16" s="1">
        <f t="shared" si="0"/>
        <v>0.97398091934084996</v>
      </c>
      <c r="Q16" s="1">
        <f t="shared" si="1"/>
        <v>0.76235906331309633</v>
      </c>
      <c r="R16" s="1">
        <f t="shared" si="2"/>
        <v>0.74501300954032967</v>
      </c>
    </row>
    <row r="17" spans="1:18" x14ac:dyDescent="0.2">
      <c r="A17">
        <v>32</v>
      </c>
      <c r="B17" s="2">
        <v>120</v>
      </c>
      <c r="C17" s="2">
        <v>12.8</v>
      </c>
      <c r="D17" s="2">
        <v>118.5</v>
      </c>
      <c r="E17" s="2">
        <v>12.7</v>
      </c>
      <c r="F17" s="2">
        <v>91.1</v>
      </c>
      <c r="G17" s="2">
        <v>12.6</v>
      </c>
      <c r="H17" s="2">
        <v>88.7</v>
      </c>
      <c r="I17" s="2">
        <v>12.5</v>
      </c>
      <c r="J17" s="2">
        <v>-1.2</v>
      </c>
      <c r="K17" s="2">
        <v>-24.1</v>
      </c>
      <c r="L17" s="2">
        <v>-2.6</v>
      </c>
      <c r="M17" s="2">
        <v>-1.6</v>
      </c>
      <c r="O17">
        <v>1</v>
      </c>
      <c r="P17" s="1">
        <f t="shared" si="0"/>
        <v>0.98750000000000004</v>
      </c>
      <c r="Q17" s="1">
        <f t="shared" si="1"/>
        <v>0.75916666666666666</v>
      </c>
      <c r="R17" s="1">
        <f t="shared" si="2"/>
        <v>0.73916666666666664</v>
      </c>
    </row>
    <row r="18" spans="1:18" x14ac:dyDescent="0.2">
      <c r="A18">
        <v>34</v>
      </c>
      <c r="B18" s="2">
        <v>125.4</v>
      </c>
      <c r="C18" s="2">
        <v>13.3</v>
      </c>
      <c r="D18" s="2">
        <v>121.5</v>
      </c>
      <c r="E18" s="2">
        <v>13.3</v>
      </c>
      <c r="F18" s="2">
        <v>94.5</v>
      </c>
      <c r="G18" s="2">
        <v>12.8</v>
      </c>
      <c r="H18" s="2">
        <v>92.5</v>
      </c>
      <c r="I18" s="2">
        <v>13.1</v>
      </c>
      <c r="J18" s="2">
        <v>-3.1</v>
      </c>
      <c r="K18" s="2">
        <v>-24.6</v>
      </c>
      <c r="L18" s="2">
        <v>-2.1</v>
      </c>
      <c r="M18" s="2">
        <v>-3.8</v>
      </c>
      <c r="O18">
        <v>1</v>
      </c>
      <c r="P18" s="1">
        <f t="shared" si="0"/>
        <v>0.96889952153110048</v>
      </c>
      <c r="Q18" s="1">
        <f t="shared" si="1"/>
        <v>0.75358851674641147</v>
      </c>
      <c r="R18" s="1">
        <f t="shared" si="2"/>
        <v>0.73763955342902709</v>
      </c>
    </row>
    <row r="19" spans="1:18" x14ac:dyDescent="0.2">
      <c r="A19">
        <v>36</v>
      </c>
      <c r="B19" s="2">
        <v>130.5</v>
      </c>
      <c r="C19" s="2">
        <v>14.5</v>
      </c>
      <c r="D19" s="2">
        <v>129.30000000000001</v>
      </c>
      <c r="E19" s="2">
        <v>14.5</v>
      </c>
      <c r="F19" s="2">
        <v>97.8</v>
      </c>
      <c r="G19" s="2">
        <v>13.9</v>
      </c>
      <c r="H19" s="2">
        <v>96</v>
      </c>
      <c r="I19" s="2">
        <v>14.1</v>
      </c>
      <c r="J19" s="2">
        <v>-0.9</v>
      </c>
      <c r="K19" s="2">
        <v>-25.1</v>
      </c>
      <c r="L19" s="2">
        <v>-1.8</v>
      </c>
      <c r="M19" s="2">
        <v>-4.0999999999999996</v>
      </c>
      <c r="O19">
        <v>1</v>
      </c>
      <c r="P19" s="1">
        <f t="shared" si="0"/>
        <v>0.99080459770114948</v>
      </c>
      <c r="Q19" s="1">
        <f t="shared" si="1"/>
        <v>0.74942528735632186</v>
      </c>
      <c r="R19" s="1">
        <f t="shared" si="2"/>
        <v>0.73563218390804597</v>
      </c>
    </row>
    <row r="20" spans="1:18" x14ac:dyDescent="0.2">
      <c r="A20">
        <v>38</v>
      </c>
      <c r="B20" s="2">
        <v>135.4</v>
      </c>
      <c r="C20" s="2">
        <v>16</v>
      </c>
      <c r="D20" s="2">
        <v>134.69999999999999</v>
      </c>
      <c r="E20" s="2">
        <v>15.9</v>
      </c>
      <c r="F20" s="2">
        <v>101.8</v>
      </c>
      <c r="G20" s="2">
        <v>15.1</v>
      </c>
      <c r="H20" s="2">
        <v>100</v>
      </c>
      <c r="I20" s="2">
        <v>14.8</v>
      </c>
      <c r="J20" s="2">
        <v>-0.5</v>
      </c>
      <c r="K20" s="2">
        <v>-24.8</v>
      </c>
      <c r="L20" s="2">
        <v>-1.8</v>
      </c>
      <c r="M20" s="2">
        <v>-5.6</v>
      </c>
      <c r="O20">
        <v>1</v>
      </c>
      <c r="P20" s="1">
        <f t="shared" si="0"/>
        <v>0.99483013293943856</v>
      </c>
      <c r="Q20" s="1">
        <f t="shared" si="1"/>
        <v>0.75184638109305757</v>
      </c>
      <c r="R20" s="1">
        <f t="shared" si="2"/>
        <v>0.73855243722304276</v>
      </c>
    </row>
    <row r="21" spans="1:18" x14ac:dyDescent="0.2">
      <c r="A21">
        <v>40</v>
      </c>
      <c r="B21" s="2">
        <v>142.1</v>
      </c>
      <c r="C21" s="2">
        <v>16.899999999999999</v>
      </c>
      <c r="D21" s="2">
        <v>140.5</v>
      </c>
      <c r="E21" s="2">
        <v>16.7</v>
      </c>
      <c r="F21" s="2">
        <v>105.4</v>
      </c>
      <c r="G21" s="2">
        <v>15.9</v>
      </c>
      <c r="H21" s="2">
        <v>103.2</v>
      </c>
      <c r="I21" s="2">
        <v>15.3</v>
      </c>
      <c r="J21" s="2">
        <v>-1.1000000000000001</v>
      </c>
      <c r="K21" s="2">
        <v>-25.8</v>
      </c>
      <c r="L21" s="2">
        <v>-2.1</v>
      </c>
      <c r="M21" s="2">
        <v>-5.9</v>
      </c>
      <c r="O21">
        <v>1</v>
      </c>
      <c r="P21" s="1">
        <f t="shared" si="0"/>
        <v>0.9887403237156932</v>
      </c>
      <c r="Q21" s="1">
        <f t="shared" si="1"/>
        <v>0.74173117522871224</v>
      </c>
      <c r="R21" s="1">
        <f t="shared" si="2"/>
        <v>0.72624912033779032</v>
      </c>
    </row>
    <row r="22" spans="1:18" x14ac:dyDescent="0.2">
      <c r="A22">
        <v>60</v>
      </c>
      <c r="B22" s="2">
        <v>189.6</v>
      </c>
      <c r="C22" s="2">
        <v>31</v>
      </c>
      <c r="D22" s="2">
        <v>188.1</v>
      </c>
      <c r="E22" s="2">
        <v>30.5</v>
      </c>
      <c r="F22" s="2">
        <v>134.6</v>
      </c>
      <c r="G22" s="2">
        <v>25.6</v>
      </c>
      <c r="H22" s="2">
        <v>132.4</v>
      </c>
      <c r="I22" s="2">
        <v>25.3</v>
      </c>
      <c r="J22" s="2">
        <v>-0.8</v>
      </c>
      <c r="K22" s="2">
        <v>-29</v>
      </c>
      <c r="L22" s="2">
        <v>-1.6</v>
      </c>
      <c r="M22" s="2">
        <v>-17.399999999999999</v>
      </c>
      <c r="O22">
        <v>1</v>
      </c>
      <c r="P22" s="1">
        <f t="shared" si="0"/>
        <v>0.99208860759493667</v>
      </c>
      <c r="Q22" s="1">
        <f t="shared" si="1"/>
        <v>0.70991561181434604</v>
      </c>
      <c r="R22" s="1">
        <f t="shared" si="2"/>
        <v>0.69831223628691985</v>
      </c>
    </row>
    <row r="23" spans="1:18" x14ac:dyDescent="0.2">
      <c r="A23">
        <v>80</v>
      </c>
      <c r="B23" s="2">
        <v>236.2</v>
      </c>
      <c r="C23" s="2">
        <v>47.3</v>
      </c>
      <c r="D23" s="2">
        <v>234.1</v>
      </c>
      <c r="E23" s="2">
        <v>46.4</v>
      </c>
      <c r="F23" s="2">
        <v>159.80000000000001</v>
      </c>
      <c r="G23" s="2">
        <v>36.299999999999997</v>
      </c>
      <c r="H23" s="2">
        <v>157.6</v>
      </c>
      <c r="I23" s="2">
        <v>35.6</v>
      </c>
      <c r="J23" s="2">
        <v>-0.9</v>
      </c>
      <c r="K23" s="2">
        <v>-32.299999999999997</v>
      </c>
      <c r="L23" s="2">
        <v>-1.4</v>
      </c>
      <c r="M23" s="2">
        <v>-23.3</v>
      </c>
      <c r="O23">
        <v>1</v>
      </c>
      <c r="P23" s="1">
        <f t="shared" si="0"/>
        <v>0.99110922946655378</v>
      </c>
      <c r="Q23" s="1">
        <f t="shared" si="1"/>
        <v>0.67654530059271811</v>
      </c>
      <c r="R23" s="1">
        <f t="shared" si="2"/>
        <v>0.66723116003386962</v>
      </c>
    </row>
    <row r="24" spans="1:18" x14ac:dyDescent="0.2">
      <c r="A24">
        <v>100</v>
      </c>
      <c r="B24" s="2">
        <v>278.7</v>
      </c>
      <c r="C24" s="2">
        <v>67.5</v>
      </c>
      <c r="D24" s="2">
        <v>277.39999999999998</v>
      </c>
      <c r="E24" s="2">
        <v>67.400000000000006</v>
      </c>
      <c r="F24" s="2">
        <v>183.1</v>
      </c>
      <c r="G24" s="2">
        <v>48.9</v>
      </c>
      <c r="H24" s="2">
        <v>180.7</v>
      </c>
      <c r="I24" s="2">
        <v>48.8</v>
      </c>
      <c r="J24" s="2">
        <v>-0.5</v>
      </c>
      <c r="K24" s="2">
        <v>-34.299999999999997</v>
      </c>
      <c r="L24" s="2">
        <v>-1.3</v>
      </c>
      <c r="M24" s="2">
        <v>-27.6</v>
      </c>
      <c r="O24">
        <v>1</v>
      </c>
      <c r="P24" s="1">
        <f t="shared" si="0"/>
        <v>0.99533548618586287</v>
      </c>
      <c r="Q24" s="1">
        <f t="shared" si="1"/>
        <v>0.65697883028345894</v>
      </c>
      <c r="R24" s="1">
        <f t="shared" si="2"/>
        <v>0.648367420165052</v>
      </c>
    </row>
    <row r="25" spans="1:18" x14ac:dyDescent="0.2">
      <c r="A25">
        <v>120</v>
      </c>
      <c r="B25" s="2">
        <v>320</v>
      </c>
      <c r="C25" s="2">
        <v>90.7</v>
      </c>
      <c r="D25" s="2">
        <v>317.89999999999998</v>
      </c>
      <c r="E25" s="2">
        <v>91.1</v>
      </c>
      <c r="F25" s="2">
        <v>205.9</v>
      </c>
      <c r="G25" s="2">
        <v>62.5</v>
      </c>
      <c r="H25" s="2">
        <v>204</v>
      </c>
      <c r="I25" s="2">
        <v>62.5</v>
      </c>
      <c r="J25" s="2">
        <v>-0.7</v>
      </c>
      <c r="K25" s="2">
        <v>-35.700000000000003</v>
      </c>
      <c r="L25" s="2">
        <v>-0.9</v>
      </c>
      <c r="M25" s="2">
        <v>-31.1</v>
      </c>
      <c r="O25">
        <v>1</v>
      </c>
      <c r="P25" s="1">
        <f t="shared" si="0"/>
        <v>0.99343749999999997</v>
      </c>
      <c r="Q25" s="1">
        <f t="shared" si="1"/>
        <v>0.6434375</v>
      </c>
      <c r="R25" s="1">
        <f t="shared" si="2"/>
        <v>0.63749999999999996</v>
      </c>
    </row>
    <row r="26" spans="1:18" x14ac:dyDescent="0.2">
      <c r="A26">
        <v>140</v>
      </c>
      <c r="B26" s="2">
        <v>362.3</v>
      </c>
      <c r="C26" s="2">
        <v>117.8</v>
      </c>
      <c r="D26" s="2">
        <v>358.4</v>
      </c>
      <c r="E26" s="2">
        <v>116.1</v>
      </c>
      <c r="F26" s="2">
        <v>227</v>
      </c>
      <c r="G26" s="2">
        <v>77.599999999999994</v>
      </c>
      <c r="H26" s="2">
        <v>224.3</v>
      </c>
      <c r="I26" s="2">
        <v>76.400000000000006</v>
      </c>
      <c r="J26" s="2">
        <v>-1.1000000000000001</v>
      </c>
      <c r="K26" s="2">
        <v>-37.299999999999997</v>
      </c>
      <c r="L26" s="2">
        <v>-1.2</v>
      </c>
      <c r="M26" s="2">
        <v>-34.1</v>
      </c>
      <c r="O26">
        <v>1</v>
      </c>
      <c r="P26" s="1">
        <f t="shared" si="0"/>
        <v>0.98923544024289256</v>
      </c>
      <c r="Q26" s="1">
        <f t="shared" si="1"/>
        <v>0.62655258073419817</v>
      </c>
      <c r="R26" s="1">
        <f t="shared" si="2"/>
        <v>0.61910019321004695</v>
      </c>
    </row>
    <row r="27" spans="1:18" x14ac:dyDescent="0.2">
      <c r="A27">
        <v>160</v>
      </c>
      <c r="B27" s="2">
        <v>398.4</v>
      </c>
      <c r="C27" s="2">
        <v>146.69999999999999</v>
      </c>
      <c r="D27" s="2">
        <v>396.2</v>
      </c>
      <c r="E27" s="2">
        <v>146.1</v>
      </c>
      <c r="F27" s="2">
        <v>245</v>
      </c>
      <c r="G27" s="2">
        <v>92.5</v>
      </c>
      <c r="H27" s="2">
        <v>243.1</v>
      </c>
      <c r="I27" s="2">
        <v>92.4</v>
      </c>
      <c r="J27" s="2">
        <v>-0.6</v>
      </c>
      <c r="K27" s="2">
        <v>-38.5</v>
      </c>
      <c r="L27" s="2">
        <v>-0.8</v>
      </c>
      <c r="M27" s="2">
        <v>-36.9</v>
      </c>
      <c r="O27">
        <v>1</v>
      </c>
      <c r="P27" s="1">
        <f t="shared" si="0"/>
        <v>0.99447791164658639</v>
      </c>
      <c r="Q27" s="1">
        <f t="shared" si="1"/>
        <v>0.61495983935742971</v>
      </c>
      <c r="R27" s="1">
        <f t="shared" si="2"/>
        <v>0.61019076305220887</v>
      </c>
    </row>
    <row r="28" spans="1:18" x14ac:dyDescent="0.2">
      <c r="A28">
        <v>180</v>
      </c>
      <c r="B28" s="2">
        <v>438.6</v>
      </c>
      <c r="C28" s="2">
        <v>183.2</v>
      </c>
      <c r="D28" s="2">
        <v>436.4</v>
      </c>
      <c r="E28" s="2">
        <v>181.3</v>
      </c>
      <c r="F28" s="2">
        <v>264.7</v>
      </c>
      <c r="G28" s="2">
        <v>110.6</v>
      </c>
      <c r="H28" s="2">
        <v>263</v>
      </c>
      <c r="I28" s="2">
        <v>109.7</v>
      </c>
      <c r="J28" s="2">
        <v>-0.5</v>
      </c>
      <c r="K28" s="2">
        <v>-39.6</v>
      </c>
      <c r="L28" s="2">
        <v>-0.6</v>
      </c>
      <c r="M28" s="2">
        <v>-39.6</v>
      </c>
      <c r="O28">
        <v>1</v>
      </c>
      <c r="P28" s="1">
        <f t="shared" si="0"/>
        <v>0.99498404012767883</v>
      </c>
      <c r="Q28" s="1">
        <f t="shared" si="1"/>
        <v>0.60351117191062464</v>
      </c>
      <c r="R28" s="1">
        <f t="shared" si="2"/>
        <v>0.59963520291837658</v>
      </c>
    </row>
    <row r="29" spans="1:18" x14ac:dyDescent="0.2">
      <c r="A29">
        <v>200</v>
      </c>
      <c r="B29" s="2">
        <v>474.4</v>
      </c>
      <c r="C29" s="2">
        <v>216.9</v>
      </c>
      <c r="D29" s="2">
        <v>473.3</v>
      </c>
      <c r="E29" s="2">
        <v>216.7</v>
      </c>
      <c r="F29" s="2">
        <v>283.3</v>
      </c>
      <c r="G29" s="2">
        <v>127.7</v>
      </c>
      <c r="H29" s="2">
        <v>280.10000000000002</v>
      </c>
      <c r="I29" s="2">
        <v>128.19999999999999</v>
      </c>
      <c r="J29" s="2">
        <v>-0.2</v>
      </c>
      <c r="K29" s="2">
        <v>-40.299999999999997</v>
      </c>
      <c r="L29" s="2">
        <v>-1.1000000000000001</v>
      </c>
      <c r="M29" s="2">
        <v>-41.1</v>
      </c>
      <c r="O29">
        <v>1</v>
      </c>
      <c r="P29" s="1">
        <f t="shared" si="0"/>
        <v>0.99768128161888714</v>
      </c>
      <c r="Q29" s="1">
        <f t="shared" si="1"/>
        <v>0.59717537942664423</v>
      </c>
      <c r="R29" s="1">
        <f t="shared" si="2"/>
        <v>0.59043001686340646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4F460-F86E-7C4A-B7F3-1237ED3448DF}">
  <dimension ref="A1:R33"/>
  <sheetViews>
    <sheetView workbookViewId="0">
      <selection activeCell="D34" sqref="D34"/>
    </sheetView>
  </sheetViews>
  <sheetFormatPr baseColWidth="10" defaultRowHeight="16" x14ac:dyDescent="0.2"/>
  <sheetData>
    <row r="1" spans="1:18" x14ac:dyDescent="0.2">
      <c r="A1" s="3" t="s">
        <v>0</v>
      </c>
      <c r="B1" s="3" t="s">
        <v>1</v>
      </c>
      <c r="C1" s="3" t="s">
        <v>10</v>
      </c>
      <c r="D1" s="3" t="s">
        <v>2</v>
      </c>
      <c r="E1" s="3" t="s">
        <v>11</v>
      </c>
      <c r="F1" s="3" t="s">
        <v>3</v>
      </c>
      <c r="G1" s="3" t="s">
        <v>12</v>
      </c>
      <c r="H1" s="3" t="s">
        <v>4</v>
      </c>
      <c r="I1" s="3" t="s">
        <v>13</v>
      </c>
      <c r="J1" s="3" t="s">
        <v>5</v>
      </c>
      <c r="K1" s="3" t="s">
        <v>6</v>
      </c>
      <c r="L1" s="3" t="s">
        <v>7</v>
      </c>
      <c r="M1" s="3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 s="3">
        <v>2</v>
      </c>
      <c r="B2" s="4">
        <v>9.8000000000000007</v>
      </c>
      <c r="C2" s="4">
        <v>0.8</v>
      </c>
      <c r="D2" s="4">
        <v>8.8000000000000007</v>
      </c>
      <c r="E2" s="4">
        <v>1</v>
      </c>
      <c r="F2" s="4">
        <v>9.4</v>
      </c>
      <c r="G2" s="4">
        <v>2.1</v>
      </c>
      <c r="H2" s="4">
        <v>8.3000000000000007</v>
      </c>
      <c r="I2" s="4">
        <v>2.1</v>
      </c>
      <c r="J2" s="4">
        <v>-10.199999999999999</v>
      </c>
      <c r="K2" s="4">
        <v>-4.0999999999999996</v>
      </c>
      <c r="L2" s="4">
        <v>-11.7</v>
      </c>
      <c r="M2" s="4">
        <v>162.5</v>
      </c>
      <c r="O2">
        <v>1</v>
      </c>
      <c r="P2" s="1">
        <f t="shared" ref="P2:P29" si="0">D2/B2</f>
        <v>0.89795918367346939</v>
      </c>
      <c r="Q2" s="1">
        <f t="shared" ref="Q2:Q29" si="1">F2/B2</f>
        <v>0.95918367346938771</v>
      </c>
      <c r="R2" s="1">
        <f t="shared" ref="R2:R29" si="2">H2/B2</f>
        <v>0.84693877551020413</v>
      </c>
    </row>
    <row r="3" spans="1:18" x14ac:dyDescent="0.2">
      <c r="A3" s="3">
        <v>4</v>
      </c>
      <c r="B3" s="4">
        <v>17.7</v>
      </c>
      <c r="C3" s="4">
        <v>1.1000000000000001</v>
      </c>
      <c r="D3" s="4">
        <v>16.3</v>
      </c>
      <c r="E3" s="4">
        <v>1.1000000000000001</v>
      </c>
      <c r="F3" s="4">
        <v>15.9</v>
      </c>
      <c r="G3" s="4">
        <v>2.6</v>
      </c>
      <c r="H3" s="4">
        <v>14.2</v>
      </c>
      <c r="I3" s="4">
        <v>2.5</v>
      </c>
      <c r="J3" s="4">
        <v>-7.9</v>
      </c>
      <c r="K3" s="4">
        <v>-10.199999999999999</v>
      </c>
      <c r="L3" s="4">
        <v>-10.7</v>
      </c>
      <c r="M3" s="4">
        <v>136.4</v>
      </c>
      <c r="O3">
        <v>1</v>
      </c>
      <c r="P3" s="1">
        <f t="shared" si="0"/>
        <v>0.92090395480225995</v>
      </c>
      <c r="Q3" s="1">
        <f t="shared" si="1"/>
        <v>0.89830508474576276</v>
      </c>
      <c r="R3" s="1">
        <f t="shared" si="2"/>
        <v>0.80225988700564976</v>
      </c>
    </row>
    <row r="4" spans="1:18" x14ac:dyDescent="0.2">
      <c r="A4" s="3">
        <v>6</v>
      </c>
      <c r="B4" s="4">
        <v>23.8</v>
      </c>
      <c r="C4" s="4">
        <v>1.6</v>
      </c>
      <c r="D4" s="4">
        <v>22.5</v>
      </c>
      <c r="E4" s="4">
        <v>1.6</v>
      </c>
      <c r="F4" s="4">
        <v>20.100000000000001</v>
      </c>
      <c r="G4" s="4">
        <v>3</v>
      </c>
      <c r="H4" s="4">
        <v>19</v>
      </c>
      <c r="I4" s="4">
        <v>2.9</v>
      </c>
      <c r="J4" s="4">
        <v>-5.5</v>
      </c>
      <c r="K4" s="4">
        <v>-15.5</v>
      </c>
      <c r="L4" s="4">
        <v>-5.5</v>
      </c>
      <c r="M4" s="4">
        <v>87.5</v>
      </c>
      <c r="O4">
        <v>1</v>
      </c>
      <c r="P4" s="1">
        <f t="shared" si="0"/>
        <v>0.94537815126050417</v>
      </c>
      <c r="Q4" s="1">
        <f t="shared" si="1"/>
        <v>0.84453781512605042</v>
      </c>
      <c r="R4" s="1">
        <f t="shared" si="2"/>
        <v>0.79831932773109238</v>
      </c>
    </row>
    <row r="5" spans="1:18" x14ac:dyDescent="0.2">
      <c r="A5" s="3">
        <v>8</v>
      </c>
      <c r="B5" s="4">
        <v>29.4</v>
      </c>
      <c r="C5" s="4">
        <v>2.2000000000000002</v>
      </c>
      <c r="D5" s="4">
        <v>28.8</v>
      </c>
      <c r="E5" s="4">
        <v>1.9</v>
      </c>
      <c r="F5" s="4">
        <v>24.6</v>
      </c>
      <c r="G5" s="4">
        <v>3.4</v>
      </c>
      <c r="H5" s="4">
        <v>24</v>
      </c>
      <c r="I5" s="4">
        <v>3.3</v>
      </c>
      <c r="J5" s="4">
        <v>-2</v>
      </c>
      <c r="K5" s="4">
        <v>-16.3</v>
      </c>
      <c r="L5" s="4">
        <v>-2.4</v>
      </c>
      <c r="M5" s="4">
        <v>54.5</v>
      </c>
      <c r="O5">
        <v>1</v>
      </c>
      <c r="P5" s="1">
        <f t="shared" si="0"/>
        <v>0.97959183673469397</v>
      </c>
      <c r="Q5" s="1">
        <f t="shared" si="1"/>
        <v>0.83673469387755106</v>
      </c>
      <c r="R5" s="1">
        <f t="shared" si="2"/>
        <v>0.81632653061224492</v>
      </c>
    </row>
    <row r="6" spans="1:18" x14ac:dyDescent="0.2">
      <c r="A6" s="3">
        <v>10</v>
      </c>
      <c r="B6" s="4">
        <v>34.9</v>
      </c>
      <c r="C6" s="4">
        <v>2.6</v>
      </c>
      <c r="D6" s="4">
        <v>34.299999999999997</v>
      </c>
      <c r="E6" s="4">
        <v>2.6</v>
      </c>
      <c r="F6" s="4">
        <v>28.5</v>
      </c>
      <c r="G6" s="4">
        <v>4</v>
      </c>
      <c r="H6" s="4">
        <v>28.2</v>
      </c>
      <c r="I6" s="4">
        <v>4</v>
      </c>
      <c r="J6" s="4">
        <v>-1.7</v>
      </c>
      <c r="K6" s="4">
        <v>-18.3</v>
      </c>
      <c r="L6" s="4">
        <v>-1.1000000000000001</v>
      </c>
      <c r="M6" s="4">
        <v>53.8</v>
      </c>
      <c r="O6">
        <v>1</v>
      </c>
      <c r="P6" s="1">
        <f t="shared" si="0"/>
        <v>0.98280802292263603</v>
      </c>
      <c r="Q6" s="1">
        <f t="shared" si="1"/>
        <v>0.81661891117478513</v>
      </c>
      <c r="R6" s="1">
        <f t="shared" si="2"/>
        <v>0.8080229226361032</v>
      </c>
    </row>
    <row r="7" spans="1:18" x14ac:dyDescent="0.2">
      <c r="A7" s="3">
        <v>12</v>
      </c>
      <c r="B7" s="4">
        <v>38.799999999999997</v>
      </c>
      <c r="C7" s="4">
        <v>2.9</v>
      </c>
      <c r="D7" s="4">
        <v>37.799999999999997</v>
      </c>
      <c r="E7" s="4">
        <v>3</v>
      </c>
      <c r="F7" s="4">
        <v>31.7</v>
      </c>
      <c r="G7" s="4">
        <v>4.2</v>
      </c>
      <c r="H7" s="4">
        <v>30.5</v>
      </c>
      <c r="I7" s="4">
        <v>4.2</v>
      </c>
      <c r="J7" s="4">
        <v>-2.6</v>
      </c>
      <c r="K7" s="4">
        <v>-18.3</v>
      </c>
      <c r="L7" s="4">
        <v>-3.8</v>
      </c>
      <c r="M7" s="4">
        <v>44.8</v>
      </c>
      <c r="O7">
        <v>1</v>
      </c>
      <c r="P7" s="1">
        <f t="shared" si="0"/>
        <v>0.97422680412371132</v>
      </c>
      <c r="Q7" s="1">
        <f t="shared" si="1"/>
        <v>0.81701030927835061</v>
      </c>
      <c r="R7" s="1">
        <f t="shared" si="2"/>
        <v>0.78608247422680422</v>
      </c>
    </row>
    <row r="8" spans="1:18" x14ac:dyDescent="0.2">
      <c r="A8" s="3">
        <v>14</v>
      </c>
      <c r="B8" s="4">
        <v>43.3</v>
      </c>
      <c r="C8" s="4">
        <v>3.2</v>
      </c>
      <c r="D8" s="4">
        <v>43</v>
      </c>
      <c r="E8" s="4">
        <v>3.1</v>
      </c>
      <c r="F8" s="4">
        <v>34.200000000000003</v>
      </c>
      <c r="G8" s="4">
        <v>4.5</v>
      </c>
      <c r="H8" s="4">
        <v>33.700000000000003</v>
      </c>
      <c r="I8" s="4">
        <v>4.7</v>
      </c>
      <c r="J8" s="4">
        <v>-0.7</v>
      </c>
      <c r="K8" s="4">
        <v>-21</v>
      </c>
      <c r="L8" s="4">
        <v>-1.5</v>
      </c>
      <c r="M8" s="4">
        <v>40.6</v>
      </c>
      <c r="O8">
        <v>1</v>
      </c>
      <c r="P8" s="1">
        <f t="shared" si="0"/>
        <v>0.9930715935334874</v>
      </c>
      <c r="Q8" s="1">
        <f t="shared" si="1"/>
        <v>0.78983833718244811</v>
      </c>
      <c r="R8" s="1">
        <f t="shared" si="2"/>
        <v>0.77829099307159366</v>
      </c>
    </row>
    <row r="9" spans="1:18" x14ac:dyDescent="0.2">
      <c r="A9" s="3">
        <v>16</v>
      </c>
      <c r="B9" s="4">
        <v>46.9</v>
      </c>
      <c r="C9" s="4">
        <v>4</v>
      </c>
      <c r="D9" s="4">
        <v>47</v>
      </c>
      <c r="E9" s="4">
        <v>3.8</v>
      </c>
      <c r="F9" s="4">
        <v>36</v>
      </c>
      <c r="G9" s="4">
        <v>5.2</v>
      </c>
      <c r="H9" s="4">
        <v>36.299999999999997</v>
      </c>
      <c r="I9" s="4">
        <v>5.0999999999999996</v>
      </c>
      <c r="J9" s="4">
        <v>0.2</v>
      </c>
      <c r="K9" s="4">
        <v>-23.2</v>
      </c>
      <c r="L9" s="4">
        <v>0.8</v>
      </c>
      <c r="M9" s="4">
        <v>30</v>
      </c>
      <c r="O9">
        <v>1</v>
      </c>
      <c r="P9" s="1">
        <f t="shared" si="0"/>
        <v>1.0021321961620469</v>
      </c>
      <c r="Q9" s="1">
        <f t="shared" si="1"/>
        <v>0.76759061833688702</v>
      </c>
      <c r="R9" s="1">
        <f t="shared" si="2"/>
        <v>0.77398720682302768</v>
      </c>
    </row>
    <row r="10" spans="1:18" x14ac:dyDescent="0.2">
      <c r="A10" s="3">
        <v>18</v>
      </c>
      <c r="B10" s="4">
        <v>49.6</v>
      </c>
      <c r="C10" s="4">
        <v>4.0999999999999996</v>
      </c>
      <c r="D10" s="4">
        <v>49.4</v>
      </c>
      <c r="E10" s="4">
        <v>4.3</v>
      </c>
      <c r="F10" s="4">
        <v>38.9</v>
      </c>
      <c r="G10" s="4">
        <v>5.4</v>
      </c>
      <c r="H10" s="4">
        <v>38.1</v>
      </c>
      <c r="I10" s="4">
        <v>5.4</v>
      </c>
      <c r="J10" s="4">
        <v>-0.4</v>
      </c>
      <c r="K10" s="4">
        <v>-21.6</v>
      </c>
      <c r="L10" s="4">
        <v>-2.1</v>
      </c>
      <c r="M10" s="4">
        <v>31.7</v>
      </c>
      <c r="O10">
        <v>1</v>
      </c>
      <c r="P10" s="1">
        <f t="shared" si="0"/>
        <v>0.99596774193548376</v>
      </c>
      <c r="Q10" s="1">
        <f t="shared" si="1"/>
        <v>0.78427419354838701</v>
      </c>
      <c r="R10" s="1">
        <f t="shared" si="2"/>
        <v>0.76814516129032262</v>
      </c>
    </row>
    <row r="11" spans="1:18" x14ac:dyDescent="0.2">
      <c r="A11" s="3">
        <v>20</v>
      </c>
      <c r="B11" s="4">
        <v>54.2</v>
      </c>
      <c r="C11" s="4">
        <v>4.8</v>
      </c>
      <c r="D11" s="4">
        <v>53.3</v>
      </c>
      <c r="E11" s="4">
        <v>4.8</v>
      </c>
      <c r="F11" s="4">
        <v>41.8</v>
      </c>
      <c r="G11" s="4">
        <v>6.1</v>
      </c>
      <c r="H11" s="4">
        <v>41</v>
      </c>
      <c r="I11" s="4">
        <v>6.4</v>
      </c>
      <c r="J11" s="4">
        <v>-1.7</v>
      </c>
      <c r="K11" s="4">
        <v>-22.9</v>
      </c>
      <c r="L11" s="4">
        <v>-1.9</v>
      </c>
      <c r="M11" s="4">
        <v>27.1</v>
      </c>
      <c r="O11">
        <v>1</v>
      </c>
      <c r="P11" s="1">
        <f t="shared" si="0"/>
        <v>0.98339483394833938</v>
      </c>
      <c r="Q11" s="1">
        <f t="shared" si="1"/>
        <v>0.77121771217712165</v>
      </c>
      <c r="R11" s="1">
        <f t="shared" si="2"/>
        <v>0.75645756457564572</v>
      </c>
    </row>
    <row r="12" spans="1:18" x14ac:dyDescent="0.2">
      <c r="A12" s="3">
        <v>22</v>
      </c>
      <c r="B12" s="4">
        <v>56.6</v>
      </c>
      <c r="C12" s="4">
        <v>5.0999999999999996</v>
      </c>
      <c r="D12" s="4">
        <v>56.2</v>
      </c>
      <c r="E12" s="4">
        <v>5.4</v>
      </c>
      <c r="F12" s="4">
        <v>43.5</v>
      </c>
      <c r="G12" s="4">
        <v>6.4</v>
      </c>
      <c r="H12" s="4">
        <v>43.3</v>
      </c>
      <c r="I12" s="4">
        <v>6.4</v>
      </c>
      <c r="J12" s="4">
        <v>-0.7</v>
      </c>
      <c r="K12" s="4">
        <v>-23.1</v>
      </c>
      <c r="L12" s="4">
        <v>-0.5</v>
      </c>
      <c r="M12" s="4">
        <v>25.5</v>
      </c>
      <c r="O12">
        <v>1</v>
      </c>
      <c r="P12" s="1">
        <f t="shared" si="0"/>
        <v>0.99293286219081278</v>
      </c>
      <c r="Q12" s="1">
        <f t="shared" si="1"/>
        <v>0.76855123674911663</v>
      </c>
      <c r="R12" s="1">
        <f t="shared" si="2"/>
        <v>0.76501766784452285</v>
      </c>
    </row>
    <row r="13" spans="1:18" x14ac:dyDescent="0.2">
      <c r="A13" s="3">
        <v>24</v>
      </c>
      <c r="B13" s="4">
        <v>60.1</v>
      </c>
      <c r="C13" s="4">
        <v>5.7</v>
      </c>
      <c r="D13" s="4">
        <v>59.4</v>
      </c>
      <c r="E13" s="4">
        <v>5.9</v>
      </c>
      <c r="F13" s="4">
        <v>45.6</v>
      </c>
      <c r="G13" s="4">
        <v>6.8</v>
      </c>
      <c r="H13" s="4">
        <v>44.4</v>
      </c>
      <c r="I13" s="4">
        <v>7</v>
      </c>
      <c r="J13" s="4">
        <v>-1.2</v>
      </c>
      <c r="K13" s="4">
        <v>-24.1</v>
      </c>
      <c r="L13" s="4">
        <v>-2.6</v>
      </c>
      <c r="M13" s="4">
        <v>19.3</v>
      </c>
      <c r="O13">
        <v>1</v>
      </c>
      <c r="P13" s="1">
        <f t="shared" si="0"/>
        <v>0.98835274542429274</v>
      </c>
      <c r="Q13" s="1">
        <f t="shared" si="1"/>
        <v>0.75873544093178036</v>
      </c>
      <c r="R13" s="1">
        <f t="shared" si="2"/>
        <v>0.73876871880199668</v>
      </c>
    </row>
    <row r="14" spans="1:18" x14ac:dyDescent="0.2">
      <c r="A14" s="3">
        <v>26</v>
      </c>
      <c r="B14" s="4">
        <v>63.1</v>
      </c>
      <c r="C14" s="4">
        <v>6.2</v>
      </c>
      <c r="D14" s="4">
        <v>64</v>
      </c>
      <c r="E14" s="4">
        <v>6.3</v>
      </c>
      <c r="F14" s="4">
        <v>47.2</v>
      </c>
      <c r="G14" s="4">
        <v>7.6</v>
      </c>
      <c r="H14" s="4">
        <v>47.5</v>
      </c>
      <c r="I14" s="4">
        <v>7.6</v>
      </c>
      <c r="J14" s="4">
        <v>1.4</v>
      </c>
      <c r="K14" s="4">
        <v>-25.2</v>
      </c>
      <c r="L14" s="4">
        <v>0.6</v>
      </c>
      <c r="M14" s="4">
        <v>22.6</v>
      </c>
      <c r="O14">
        <v>1</v>
      </c>
      <c r="P14" s="1">
        <f t="shared" si="0"/>
        <v>1.0142630744849446</v>
      </c>
      <c r="Q14" s="1">
        <f t="shared" si="1"/>
        <v>0.74801901743264665</v>
      </c>
      <c r="R14" s="1">
        <f t="shared" si="2"/>
        <v>0.7527733755942948</v>
      </c>
    </row>
    <row r="15" spans="1:18" x14ac:dyDescent="0.2">
      <c r="A15" s="3">
        <v>28</v>
      </c>
      <c r="B15" s="4">
        <v>66.3</v>
      </c>
      <c r="C15" s="4">
        <v>6.8</v>
      </c>
      <c r="D15" s="4">
        <v>66.099999999999994</v>
      </c>
      <c r="E15" s="4">
        <v>7</v>
      </c>
      <c r="F15" s="4">
        <v>49.1</v>
      </c>
      <c r="G15" s="4">
        <v>8</v>
      </c>
      <c r="H15" s="4">
        <v>48.9</v>
      </c>
      <c r="I15" s="4">
        <v>7.8</v>
      </c>
      <c r="J15" s="4">
        <v>-0.3</v>
      </c>
      <c r="K15" s="4">
        <v>-25.9</v>
      </c>
      <c r="L15" s="4">
        <v>-0.4</v>
      </c>
      <c r="M15" s="4">
        <v>17.600000000000001</v>
      </c>
      <c r="O15">
        <v>1</v>
      </c>
      <c r="P15" s="1">
        <f t="shared" si="0"/>
        <v>0.99698340874811464</v>
      </c>
      <c r="Q15" s="1">
        <f t="shared" si="1"/>
        <v>0.74057315233785825</v>
      </c>
      <c r="R15" s="1">
        <f t="shared" si="2"/>
        <v>0.73755656108597289</v>
      </c>
    </row>
    <row r="16" spans="1:18" x14ac:dyDescent="0.2">
      <c r="A16" s="3">
        <v>30</v>
      </c>
      <c r="B16" s="4">
        <v>68.7</v>
      </c>
      <c r="C16" s="4">
        <v>7.5</v>
      </c>
      <c r="D16" s="4">
        <v>69.3</v>
      </c>
      <c r="E16" s="4">
        <v>7.5</v>
      </c>
      <c r="F16" s="4">
        <v>51.2</v>
      </c>
      <c r="G16" s="4">
        <v>8.8000000000000007</v>
      </c>
      <c r="H16" s="4">
        <v>51</v>
      </c>
      <c r="I16" s="4">
        <v>8.8000000000000007</v>
      </c>
      <c r="J16" s="4">
        <v>0.9</v>
      </c>
      <c r="K16" s="4">
        <v>-25.5</v>
      </c>
      <c r="L16" s="4">
        <v>-0.4</v>
      </c>
      <c r="M16" s="4">
        <v>17.3</v>
      </c>
      <c r="O16">
        <v>1</v>
      </c>
      <c r="P16" s="1">
        <f t="shared" si="0"/>
        <v>1.0087336244541485</v>
      </c>
      <c r="Q16" s="1">
        <f t="shared" si="1"/>
        <v>0.74526928675400295</v>
      </c>
      <c r="R16" s="1">
        <f t="shared" si="2"/>
        <v>0.74235807860262004</v>
      </c>
    </row>
    <row r="17" spans="1:18" x14ac:dyDescent="0.2">
      <c r="A17" s="3">
        <v>32</v>
      </c>
      <c r="B17" s="4">
        <v>72.8</v>
      </c>
      <c r="C17" s="4">
        <v>8.3000000000000007</v>
      </c>
      <c r="D17" s="4">
        <v>72.099999999999994</v>
      </c>
      <c r="E17" s="4">
        <v>8.1</v>
      </c>
      <c r="F17" s="4">
        <v>53</v>
      </c>
      <c r="G17" s="4">
        <v>9.4</v>
      </c>
      <c r="H17" s="4">
        <v>52.7</v>
      </c>
      <c r="I17" s="4">
        <v>9.4</v>
      </c>
      <c r="J17" s="4">
        <v>-1</v>
      </c>
      <c r="K17" s="4">
        <v>-27.2</v>
      </c>
      <c r="L17" s="4">
        <v>-0.6</v>
      </c>
      <c r="M17" s="4">
        <v>13.3</v>
      </c>
      <c r="O17">
        <v>1</v>
      </c>
      <c r="P17" s="1">
        <f t="shared" si="0"/>
        <v>0.99038461538461531</v>
      </c>
      <c r="Q17" s="1">
        <f t="shared" si="1"/>
        <v>0.7280219780219781</v>
      </c>
      <c r="R17" s="1">
        <f t="shared" si="2"/>
        <v>0.72390109890109899</v>
      </c>
    </row>
    <row r="18" spans="1:18" x14ac:dyDescent="0.2">
      <c r="A18" s="3">
        <v>34</v>
      </c>
      <c r="B18" s="4">
        <v>76.5</v>
      </c>
      <c r="C18" s="4">
        <v>8.8000000000000007</v>
      </c>
      <c r="D18" s="4">
        <v>76.2</v>
      </c>
      <c r="E18" s="4">
        <v>9</v>
      </c>
      <c r="F18" s="4">
        <v>55.1</v>
      </c>
      <c r="G18" s="4">
        <v>9.8000000000000007</v>
      </c>
      <c r="H18" s="4">
        <v>55</v>
      </c>
      <c r="I18" s="4">
        <v>9.5</v>
      </c>
      <c r="J18" s="4">
        <v>-0.4</v>
      </c>
      <c r="K18" s="4">
        <v>-28</v>
      </c>
      <c r="L18" s="4">
        <v>-0.2</v>
      </c>
      <c r="M18" s="4">
        <v>11.4</v>
      </c>
      <c r="O18">
        <v>1</v>
      </c>
      <c r="P18" s="1">
        <f t="shared" si="0"/>
        <v>0.99607843137254903</v>
      </c>
      <c r="Q18" s="1">
        <f t="shared" si="1"/>
        <v>0.72026143790849673</v>
      </c>
      <c r="R18" s="1">
        <f t="shared" si="2"/>
        <v>0.71895424836601307</v>
      </c>
    </row>
    <row r="19" spans="1:18" x14ac:dyDescent="0.2">
      <c r="A19" s="3">
        <v>36</v>
      </c>
      <c r="B19" s="4">
        <v>79.7</v>
      </c>
      <c r="C19" s="4">
        <v>9.4</v>
      </c>
      <c r="D19" s="4">
        <v>78.8</v>
      </c>
      <c r="E19" s="4">
        <v>9.3000000000000007</v>
      </c>
      <c r="F19" s="4">
        <v>56.4</v>
      </c>
      <c r="G19" s="4">
        <v>10.5</v>
      </c>
      <c r="H19" s="4">
        <v>56.9</v>
      </c>
      <c r="I19" s="4">
        <v>10.199999999999999</v>
      </c>
      <c r="J19" s="4">
        <v>-1.1000000000000001</v>
      </c>
      <c r="K19" s="4">
        <v>-29.2</v>
      </c>
      <c r="L19" s="4">
        <v>0.9</v>
      </c>
      <c r="M19" s="4">
        <v>11.7</v>
      </c>
      <c r="O19">
        <v>1</v>
      </c>
      <c r="P19" s="1">
        <f t="shared" si="0"/>
        <v>0.98870765370138014</v>
      </c>
      <c r="Q19" s="1">
        <f t="shared" si="1"/>
        <v>0.70765370138017558</v>
      </c>
      <c r="R19" s="1">
        <f t="shared" si="2"/>
        <v>0.71392722710163103</v>
      </c>
    </row>
    <row r="20" spans="1:18" x14ac:dyDescent="0.2">
      <c r="A20" s="3">
        <v>38</v>
      </c>
      <c r="B20" s="4">
        <v>81.5</v>
      </c>
      <c r="C20" s="4">
        <v>9.8000000000000007</v>
      </c>
      <c r="D20" s="4">
        <v>80.8</v>
      </c>
      <c r="E20" s="4">
        <v>9.8000000000000007</v>
      </c>
      <c r="F20" s="4">
        <v>57.6</v>
      </c>
      <c r="G20" s="4">
        <v>10.7</v>
      </c>
      <c r="H20" s="4">
        <v>58.2</v>
      </c>
      <c r="I20" s="4">
        <v>10.3</v>
      </c>
      <c r="J20" s="4">
        <v>-0.9</v>
      </c>
      <c r="K20" s="4">
        <v>-29.3</v>
      </c>
      <c r="L20" s="4">
        <v>1</v>
      </c>
      <c r="M20" s="4">
        <v>9.1999999999999993</v>
      </c>
      <c r="O20">
        <v>1</v>
      </c>
      <c r="P20" s="1">
        <f t="shared" si="0"/>
        <v>0.99141104294478521</v>
      </c>
      <c r="Q20" s="1">
        <f t="shared" si="1"/>
        <v>0.70674846625766874</v>
      </c>
      <c r="R20" s="1">
        <f t="shared" si="2"/>
        <v>0.71411042944785275</v>
      </c>
    </row>
    <row r="21" spans="1:18" x14ac:dyDescent="0.2">
      <c r="A21" s="3">
        <v>40</v>
      </c>
      <c r="B21" s="4">
        <v>84.6</v>
      </c>
      <c r="C21" s="4">
        <v>10.5</v>
      </c>
      <c r="D21" s="4">
        <v>83.9</v>
      </c>
      <c r="E21" s="4">
        <v>10.4</v>
      </c>
      <c r="F21" s="4">
        <v>59.8</v>
      </c>
      <c r="G21" s="4">
        <v>11.4</v>
      </c>
      <c r="H21" s="4">
        <v>59.3</v>
      </c>
      <c r="I21" s="4">
        <v>10.7</v>
      </c>
      <c r="J21" s="4">
        <v>-0.8</v>
      </c>
      <c r="K21" s="4">
        <v>-29.3</v>
      </c>
      <c r="L21" s="4">
        <v>-0.8</v>
      </c>
      <c r="M21" s="4">
        <v>8.6</v>
      </c>
      <c r="O21">
        <v>1</v>
      </c>
      <c r="P21" s="1">
        <f t="shared" si="0"/>
        <v>0.99172576832151316</v>
      </c>
      <c r="Q21" s="1">
        <f t="shared" si="1"/>
        <v>0.70685579196217496</v>
      </c>
      <c r="R21" s="1">
        <f t="shared" si="2"/>
        <v>0.70094562647754144</v>
      </c>
    </row>
    <row r="22" spans="1:18" x14ac:dyDescent="0.2">
      <c r="A22" s="3">
        <v>60</v>
      </c>
      <c r="B22" s="4">
        <v>112.4</v>
      </c>
      <c r="C22" s="4">
        <v>18</v>
      </c>
      <c r="D22" s="4">
        <v>111.4</v>
      </c>
      <c r="E22" s="4">
        <v>17.8</v>
      </c>
      <c r="F22" s="4">
        <v>74</v>
      </c>
      <c r="G22" s="4">
        <v>16.7</v>
      </c>
      <c r="H22" s="4">
        <v>74.900000000000006</v>
      </c>
      <c r="I22" s="4">
        <v>16.7</v>
      </c>
      <c r="J22" s="4">
        <v>-0.9</v>
      </c>
      <c r="K22" s="4">
        <v>-34.200000000000003</v>
      </c>
      <c r="L22" s="4">
        <v>1.2</v>
      </c>
      <c r="M22" s="4">
        <v>-7.2</v>
      </c>
      <c r="O22">
        <v>1</v>
      </c>
      <c r="P22" s="1">
        <f t="shared" si="0"/>
        <v>0.99110320284697506</v>
      </c>
      <c r="Q22" s="1">
        <f t="shared" si="1"/>
        <v>0.65836298932384341</v>
      </c>
      <c r="R22" s="1">
        <f t="shared" si="2"/>
        <v>0.66637010676156583</v>
      </c>
    </row>
    <row r="23" spans="1:18" x14ac:dyDescent="0.2">
      <c r="A23" s="3">
        <v>80</v>
      </c>
      <c r="B23" s="4">
        <v>137.19999999999999</v>
      </c>
      <c r="C23" s="4">
        <v>26.2</v>
      </c>
      <c r="D23" s="4">
        <v>136.6</v>
      </c>
      <c r="E23" s="4">
        <v>26.2</v>
      </c>
      <c r="F23" s="4">
        <v>87.1</v>
      </c>
      <c r="G23" s="4">
        <v>22</v>
      </c>
      <c r="H23" s="4">
        <v>87.8</v>
      </c>
      <c r="I23" s="4">
        <v>22.6</v>
      </c>
      <c r="J23" s="4">
        <v>-0.4</v>
      </c>
      <c r="K23" s="4">
        <v>-36.5</v>
      </c>
      <c r="L23" s="4">
        <v>0.8</v>
      </c>
      <c r="M23" s="4">
        <v>-16</v>
      </c>
      <c r="O23">
        <v>1</v>
      </c>
      <c r="P23" s="1">
        <f t="shared" si="0"/>
        <v>0.99562682215743448</v>
      </c>
      <c r="Q23" s="1">
        <f t="shared" si="1"/>
        <v>0.63483965014577259</v>
      </c>
      <c r="R23" s="1">
        <f t="shared" si="2"/>
        <v>0.63994169096209919</v>
      </c>
    </row>
    <row r="24" spans="1:18" x14ac:dyDescent="0.2">
      <c r="A24" s="3">
        <v>100</v>
      </c>
      <c r="B24" s="4">
        <v>161.19999999999999</v>
      </c>
      <c r="C24" s="4">
        <v>36.700000000000003</v>
      </c>
      <c r="D24" s="4">
        <v>159.1</v>
      </c>
      <c r="E24" s="4">
        <v>36.200000000000003</v>
      </c>
      <c r="F24" s="4">
        <v>100.2</v>
      </c>
      <c r="G24" s="4">
        <v>28.9</v>
      </c>
      <c r="H24" s="4">
        <v>99.9</v>
      </c>
      <c r="I24" s="4">
        <v>28.9</v>
      </c>
      <c r="J24" s="4">
        <v>-1.3</v>
      </c>
      <c r="K24" s="4">
        <v>-37.799999999999997</v>
      </c>
      <c r="L24" s="4">
        <v>-0.3</v>
      </c>
      <c r="M24" s="4">
        <v>-21.3</v>
      </c>
      <c r="O24">
        <v>1</v>
      </c>
      <c r="P24" s="1">
        <f t="shared" si="0"/>
        <v>0.98697270471464027</v>
      </c>
      <c r="Q24" s="1">
        <f t="shared" si="1"/>
        <v>0.62158808933002485</v>
      </c>
      <c r="R24" s="1">
        <f t="shared" si="2"/>
        <v>0.61972704714640203</v>
      </c>
    </row>
    <row r="25" spans="1:18" x14ac:dyDescent="0.2">
      <c r="A25" s="3">
        <v>120</v>
      </c>
      <c r="B25" s="4">
        <v>182.1</v>
      </c>
      <c r="C25" s="4">
        <v>48.3</v>
      </c>
      <c r="D25" s="4">
        <v>181.6</v>
      </c>
      <c r="E25" s="4">
        <v>47.7</v>
      </c>
      <c r="F25" s="4">
        <v>109.8</v>
      </c>
      <c r="G25" s="4">
        <v>35.4</v>
      </c>
      <c r="H25" s="4">
        <v>110.1</v>
      </c>
      <c r="I25" s="4">
        <v>36.200000000000003</v>
      </c>
      <c r="J25" s="4">
        <v>-0.3</v>
      </c>
      <c r="K25" s="4">
        <v>-39.700000000000003</v>
      </c>
      <c r="L25" s="4">
        <v>0.3</v>
      </c>
      <c r="M25" s="4">
        <v>-26.7</v>
      </c>
      <c r="O25">
        <v>1</v>
      </c>
      <c r="P25" s="1">
        <f t="shared" si="0"/>
        <v>0.99725425590334982</v>
      </c>
      <c r="Q25" s="1">
        <f t="shared" si="1"/>
        <v>0.60296540362438222</v>
      </c>
      <c r="R25" s="1">
        <f t="shared" si="2"/>
        <v>0.60461285008237231</v>
      </c>
    </row>
    <row r="26" spans="1:18" x14ac:dyDescent="0.2">
      <c r="A26" s="3">
        <v>140</v>
      </c>
      <c r="B26" s="4">
        <v>202.2</v>
      </c>
      <c r="C26" s="4">
        <v>58.7</v>
      </c>
      <c r="D26" s="4">
        <v>202.8</v>
      </c>
      <c r="E26" s="4">
        <v>58.7</v>
      </c>
      <c r="F26" s="4">
        <v>120.3</v>
      </c>
      <c r="G26" s="4">
        <v>41.6</v>
      </c>
      <c r="H26" s="4">
        <v>119.9</v>
      </c>
      <c r="I26" s="4">
        <v>42.5</v>
      </c>
      <c r="J26" s="4">
        <v>0.3</v>
      </c>
      <c r="K26" s="4">
        <v>-40.5</v>
      </c>
      <c r="L26" s="4">
        <v>-0.3</v>
      </c>
      <c r="M26" s="4">
        <v>-29.1</v>
      </c>
      <c r="O26">
        <v>1</v>
      </c>
      <c r="P26" s="1">
        <f t="shared" si="0"/>
        <v>1.0029673590504453</v>
      </c>
      <c r="Q26" s="1">
        <f t="shared" si="1"/>
        <v>0.59495548961424338</v>
      </c>
      <c r="R26" s="1">
        <f t="shared" si="2"/>
        <v>0.59297725024727999</v>
      </c>
    </row>
    <row r="27" spans="1:18" x14ac:dyDescent="0.2">
      <c r="A27" s="3">
        <v>160</v>
      </c>
      <c r="B27" s="4">
        <v>221.3</v>
      </c>
      <c r="C27" s="4">
        <v>71.400000000000006</v>
      </c>
      <c r="D27" s="4">
        <v>220.9</v>
      </c>
      <c r="E27" s="4">
        <v>71.3</v>
      </c>
      <c r="F27" s="4">
        <v>128</v>
      </c>
      <c r="G27" s="4">
        <v>48.4</v>
      </c>
      <c r="H27" s="4">
        <v>127.7</v>
      </c>
      <c r="I27" s="4">
        <v>49.2</v>
      </c>
      <c r="J27" s="4">
        <v>-0.2</v>
      </c>
      <c r="K27" s="4">
        <v>-42.2</v>
      </c>
      <c r="L27" s="4">
        <v>-0.2</v>
      </c>
      <c r="M27" s="4">
        <v>-32.200000000000003</v>
      </c>
      <c r="O27">
        <v>1</v>
      </c>
      <c r="P27" s="1">
        <f t="shared" si="0"/>
        <v>0.99819249887031181</v>
      </c>
      <c r="Q27" s="1">
        <f t="shared" si="1"/>
        <v>0.57840036150022589</v>
      </c>
      <c r="R27" s="1">
        <f t="shared" si="2"/>
        <v>0.57704473565295977</v>
      </c>
    </row>
    <row r="28" spans="1:18" x14ac:dyDescent="0.2">
      <c r="A28" s="3">
        <v>180</v>
      </c>
      <c r="B28" s="4">
        <v>240</v>
      </c>
      <c r="C28" s="4">
        <v>85.5</v>
      </c>
      <c r="D28" s="4">
        <v>238.4</v>
      </c>
      <c r="E28" s="4">
        <v>84.7</v>
      </c>
      <c r="F28" s="4">
        <v>136.4</v>
      </c>
      <c r="G28" s="4">
        <v>55.9</v>
      </c>
      <c r="H28" s="4">
        <v>136.19999999999999</v>
      </c>
      <c r="I28" s="4">
        <v>56.8</v>
      </c>
      <c r="J28" s="4">
        <v>-0.7</v>
      </c>
      <c r="K28" s="4">
        <v>-43.2</v>
      </c>
      <c r="L28" s="4">
        <v>-0.1</v>
      </c>
      <c r="M28" s="4">
        <v>-34.6</v>
      </c>
      <c r="O28">
        <v>1</v>
      </c>
      <c r="P28" s="1">
        <f t="shared" si="0"/>
        <v>0.9933333333333334</v>
      </c>
      <c r="Q28" s="1">
        <f t="shared" si="1"/>
        <v>0.56833333333333336</v>
      </c>
      <c r="R28" s="1">
        <f t="shared" si="2"/>
        <v>0.5675</v>
      </c>
    </row>
    <row r="29" spans="1:18" x14ac:dyDescent="0.2">
      <c r="A29" s="3">
        <v>200</v>
      </c>
      <c r="B29" s="4">
        <v>257.39999999999998</v>
      </c>
      <c r="C29" s="4">
        <v>99.5</v>
      </c>
      <c r="D29" s="4">
        <v>258.3</v>
      </c>
      <c r="E29" s="4">
        <v>99.8</v>
      </c>
      <c r="F29" s="4">
        <v>145.1</v>
      </c>
      <c r="G29" s="4">
        <v>62.9</v>
      </c>
      <c r="H29" s="4">
        <v>144.30000000000001</v>
      </c>
      <c r="I29" s="4">
        <v>64.3</v>
      </c>
      <c r="J29" s="4">
        <v>0.3</v>
      </c>
      <c r="K29" s="4">
        <v>-43.6</v>
      </c>
      <c r="L29" s="4">
        <v>-0.6</v>
      </c>
      <c r="M29" s="4">
        <v>-36.799999999999997</v>
      </c>
      <c r="O29">
        <v>1</v>
      </c>
      <c r="P29" s="1">
        <f t="shared" si="0"/>
        <v>1.0034965034965035</v>
      </c>
      <c r="Q29" s="1">
        <f t="shared" si="1"/>
        <v>0.56371406371406374</v>
      </c>
      <c r="R29" s="1">
        <f t="shared" si="2"/>
        <v>0.56060606060606066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F0823-5CD8-3940-ADAD-49121E744578}">
  <dimension ref="A1:R33"/>
  <sheetViews>
    <sheetView tabSelected="1" workbookViewId="0">
      <selection activeCell="A24" sqref="A24:XFD24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23.5</v>
      </c>
      <c r="C2" s="2">
        <v>3</v>
      </c>
      <c r="D2" s="2">
        <v>19</v>
      </c>
      <c r="E2" s="2">
        <v>2.8</v>
      </c>
      <c r="F2" s="2">
        <v>24.9</v>
      </c>
      <c r="G2" s="2">
        <v>3.8</v>
      </c>
      <c r="H2" s="2">
        <v>17.399999999999999</v>
      </c>
      <c r="I2" s="2">
        <v>3.5</v>
      </c>
      <c r="J2" s="2">
        <v>-19.100000000000001</v>
      </c>
      <c r="K2" s="2">
        <v>6</v>
      </c>
      <c r="L2" s="2">
        <v>-30.1</v>
      </c>
      <c r="M2" s="2">
        <v>26.7</v>
      </c>
      <c r="O2">
        <v>1</v>
      </c>
      <c r="P2" s="1">
        <f t="shared" ref="P2:P29" si="0">D2/B2</f>
        <v>0.80851063829787229</v>
      </c>
      <c r="Q2" s="1">
        <f t="shared" ref="Q2:Q29" si="1">F2/B2</f>
        <v>1.0595744680851062</v>
      </c>
      <c r="R2" s="1">
        <f t="shared" ref="R2:R29" si="2">H2/B2</f>
        <v>0.74042553191489358</v>
      </c>
    </row>
    <row r="3" spans="1:18" x14ac:dyDescent="0.2">
      <c r="A3">
        <v>4</v>
      </c>
      <c r="B3" s="2">
        <v>48.7</v>
      </c>
      <c r="C3" s="2">
        <v>4.4000000000000004</v>
      </c>
      <c r="D3" s="2">
        <v>45.8</v>
      </c>
      <c r="E3" s="2">
        <v>4.4000000000000004</v>
      </c>
      <c r="F3" s="2">
        <v>47.7</v>
      </c>
      <c r="G3" s="2">
        <v>5</v>
      </c>
      <c r="H3" s="2">
        <v>36.700000000000003</v>
      </c>
      <c r="I3" s="2">
        <v>4.5999999999999996</v>
      </c>
      <c r="J3" s="2">
        <v>-6</v>
      </c>
      <c r="K3" s="2">
        <v>-2.1</v>
      </c>
      <c r="L3" s="2">
        <v>-23.1</v>
      </c>
      <c r="M3" s="2">
        <v>13.6</v>
      </c>
      <c r="O3">
        <v>1</v>
      </c>
      <c r="P3" s="1">
        <f t="shared" si="0"/>
        <v>0.94045174537987664</v>
      </c>
      <c r="Q3" s="1">
        <f t="shared" si="1"/>
        <v>0.97946611909650927</v>
      </c>
      <c r="R3" s="1">
        <f t="shared" si="2"/>
        <v>0.75359342915811089</v>
      </c>
    </row>
    <row r="4" spans="1:18" x14ac:dyDescent="0.2">
      <c r="A4">
        <v>6</v>
      </c>
      <c r="B4" s="2">
        <v>75.2</v>
      </c>
      <c r="C4" s="2">
        <v>5.8</v>
      </c>
      <c r="D4" s="2">
        <v>70.8</v>
      </c>
      <c r="E4" s="2">
        <v>5.7</v>
      </c>
      <c r="F4" s="2">
        <v>71.2</v>
      </c>
      <c r="G4" s="2">
        <v>6.2</v>
      </c>
      <c r="H4" s="2">
        <v>59.1</v>
      </c>
      <c r="I4" s="2">
        <v>5.9</v>
      </c>
      <c r="J4" s="2">
        <v>-5.9</v>
      </c>
      <c r="K4" s="2">
        <v>-5.3</v>
      </c>
      <c r="L4" s="2">
        <v>-17</v>
      </c>
      <c r="M4" s="2">
        <v>6.9</v>
      </c>
      <c r="O4">
        <v>1</v>
      </c>
      <c r="P4" s="1">
        <f t="shared" si="0"/>
        <v>0.9414893617021276</v>
      </c>
      <c r="Q4" s="1">
        <f t="shared" si="1"/>
        <v>0.94680851063829785</v>
      </c>
      <c r="R4" s="1">
        <f t="shared" si="2"/>
        <v>0.78590425531914887</v>
      </c>
    </row>
    <row r="5" spans="1:18" x14ac:dyDescent="0.2">
      <c r="A5">
        <v>8</v>
      </c>
      <c r="B5" s="2">
        <v>92.8</v>
      </c>
      <c r="C5" s="2">
        <v>7.3</v>
      </c>
      <c r="D5" s="2">
        <v>89.8</v>
      </c>
      <c r="E5" s="2">
        <v>7.1</v>
      </c>
      <c r="F5" s="2">
        <v>85.2</v>
      </c>
      <c r="G5" s="2">
        <v>7.2</v>
      </c>
      <c r="H5" s="2">
        <v>77</v>
      </c>
      <c r="I5" s="2">
        <v>7</v>
      </c>
      <c r="J5" s="2">
        <v>-3.2</v>
      </c>
      <c r="K5" s="2">
        <v>-8.1999999999999993</v>
      </c>
      <c r="L5" s="2">
        <v>-9.6</v>
      </c>
      <c r="M5" s="2">
        <v>-1.4</v>
      </c>
      <c r="O5">
        <v>1</v>
      </c>
      <c r="P5" s="1">
        <f t="shared" si="0"/>
        <v>0.96767241379310343</v>
      </c>
      <c r="Q5" s="1">
        <f t="shared" si="1"/>
        <v>0.9181034482758621</v>
      </c>
      <c r="R5" s="1">
        <f t="shared" si="2"/>
        <v>0.82974137931034486</v>
      </c>
    </row>
    <row r="6" spans="1:18" x14ac:dyDescent="0.2">
      <c r="A6">
        <v>10</v>
      </c>
      <c r="B6" s="2">
        <v>107.8</v>
      </c>
      <c r="C6" s="2">
        <v>8.8000000000000007</v>
      </c>
      <c r="D6" s="2">
        <v>105.2</v>
      </c>
      <c r="E6" s="2">
        <v>8.8000000000000007</v>
      </c>
      <c r="F6" s="2">
        <v>99.1</v>
      </c>
      <c r="G6" s="2">
        <v>8.3000000000000007</v>
      </c>
      <c r="H6" s="2">
        <v>92.8</v>
      </c>
      <c r="I6" s="2">
        <v>7.9</v>
      </c>
      <c r="J6" s="2">
        <v>-2.4</v>
      </c>
      <c r="K6" s="2">
        <v>-8.1</v>
      </c>
      <c r="L6" s="2">
        <v>-6.4</v>
      </c>
      <c r="M6" s="2">
        <v>-5.7</v>
      </c>
      <c r="O6">
        <v>1</v>
      </c>
      <c r="P6" s="1">
        <f t="shared" si="0"/>
        <v>0.97588126159554733</v>
      </c>
      <c r="Q6" s="1">
        <f t="shared" si="1"/>
        <v>0.91929499072356213</v>
      </c>
      <c r="R6" s="1">
        <f t="shared" si="2"/>
        <v>0.86085343228200373</v>
      </c>
    </row>
    <row r="7" spans="1:18" x14ac:dyDescent="0.2">
      <c r="A7">
        <v>12</v>
      </c>
      <c r="B7" s="2">
        <v>121.2</v>
      </c>
      <c r="C7" s="2">
        <v>10.6</v>
      </c>
      <c r="D7" s="2">
        <v>118.1</v>
      </c>
      <c r="E7" s="2">
        <v>10.3</v>
      </c>
      <c r="F7" s="2">
        <v>109.9</v>
      </c>
      <c r="G7" s="2">
        <v>9.8000000000000007</v>
      </c>
      <c r="H7" s="2">
        <v>103.8</v>
      </c>
      <c r="I7" s="2">
        <v>9.3000000000000007</v>
      </c>
      <c r="J7" s="2">
        <v>-2.6</v>
      </c>
      <c r="K7" s="2">
        <v>-9.3000000000000007</v>
      </c>
      <c r="L7" s="2">
        <v>-5.6</v>
      </c>
      <c r="M7" s="2">
        <v>-7.5</v>
      </c>
      <c r="O7">
        <v>1</v>
      </c>
      <c r="P7" s="1">
        <f t="shared" si="0"/>
        <v>0.97442244224422436</v>
      </c>
      <c r="Q7" s="1">
        <f t="shared" si="1"/>
        <v>0.90676567656765683</v>
      </c>
      <c r="R7" s="1">
        <f t="shared" si="2"/>
        <v>0.85643564356435642</v>
      </c>
    </row>
    <row r="8" spans="1:18" x14ac:dyDescent="0.2">
      <c r="A8">
        <v>14</v>
      </c>
      <c r="B8" s="2">
        <v>131.30000000000001</v>
      </c>
      <c r="C8" s="2">
        <v>12</v>
      </c>
      <c r="D8" s="2">
        <v>130</v>
      </c>
      <c r="E8" s="2">
        <v>11.7</v>
      </c>
      <c r="F8" s="2">
        <v>119.1</v>
      </c>
      <c r="G8" s="2">
        <v>10.7</v>
      </c>
      <c r="H8" s="2">
        <v>114.6</v>
      </c>
      <c r="I8" s="2">
        <v>10.199999999999999</v>
      </c>
      <c r="J8" s="2">
        <v>-1</v>
      </c>
      <c r="K8" s="2">
        <v>-9.3000000000000007</v>
      </c>
      <c r="L8" s="2">
        <v>-3.8</v>
      </c>
      <c r="M8" s="2">
        <v>-10.8</v>
      </c>
      <c r="O8">
        <v>1</v>
      </c>
      <c r="P8" s="1">
        <f t="shared" si="0"/>
        <v>0.99009900990098998</v>
      </c>
      <c r="Q8" s="1">
        <f t="shared" si="1"/>
        <v>0.90708301599390695</v>
      </c>
      <c r="R8" s="1">
        <f t="shared" si="2"/>
        <v>0.87281035795887274</v>
      </c>
    </row>
    <row r="9" spans="1:18" x14ac:dyDescent="0.2">
      <c r="A9">
        <v>16</v>
      </c>
      <c r="B9" s="2">
        <v>143.4</v>
      </c>
      <c r="C9" s="2">
        <v>13.5</v>
      </c>
      <c r="D9" s="2">
        <v>141.4</v>
      </c>
      <c r="E9" s="2">
        <v>13</v>
      </c>
      <c r="F9" s="2">
        <v>129.5</v>
      </c>
      <c r="G9" s="2">
        <v>11.7</v>
      </c>
      <c r="H9" s="2">
        <v>123.4</v>
      </c>
      <c r="I9" s="2">
        <v>11.1</v>
      </c>
      <c r="J9" s="2">
        <v>-1.4</v>
      </c>
      <c r="K9" s="2">
        <v>-9.6999999999999993</v>
      </c>
      <c r="L9" s="2">
        <v>-4.7</v>
      </c>
      <c r="M9" s="2">
        <v>-13.3</v>
      </c>
      <c r="O9">
        <v>1</v>
      </c>
      <c r="P9" s="1">
        <f t="shared" si="0"/>
        <v>0.98605299860529982</v>
      </c>
      <c r="Q9" s="1">
        <f t="shared" si="1"/>
        <v>0.90306834030683403</v>
      </c>
      <c r="R9" s="1">
        <f t="shared" si="2"/>
        <v>0.86052998605299857</v>
      </c>
    </row>
    <row r="10" spans="1:18" x14ac:dyDescent="0.2">
      <c r="A10">
        <v>18</v>
      </c>
      <c r="B10" s="2">
        <v>155.5</v>
      </c>
      <c r="C10" s="2">
        <v>15.4</v>
      </c>
      <c r="D10" s="2">
        <v>154.4</v>
      </c>
      <c r="E10" s="2">
        <v>15.5</v>
      </c>
      <c r="F10" s="2">
        <v>138.6</v>
      </c>
      <c r="G10" s="2">
        <v>13</v>
      </c>
      <c r="H10" s="2">
        <v>134.5</v>
      </c>
      <c r="I10" s="2">
        <v>12.8</v>
      </c>
      <c r="J10" s="2">
        <v>-0.7</v>
      </c>
      <c r="K10" s="2">
        <v>-10.9</v>
      </c>
      <c r="L10" s="2">
        <v>-3</v>
      </c>
      <c r="M10" s="2">
        <v>-15.6</v>
      </c>
      <c r="O10">
        <v>1</v>
      </c>
      <c r="P10" s="1">
        <f t="shared" si="0"/>
        <v>0.99292604501607717</v>
      </c>
      <c r="Q10" s="1">
        <f t="shared" si="1"/>
        <v>0.89131832797427646</v>
      </c>
      <c r="R10" s="1">
        <f t="shared" si="2"/>
        <v>0.864951768488746</v>
      </c>
    </row>
    <row r="11" spans="1:18" x14ac:dyDescent="0.2">
      <c r="A11">
        <v>20</v>
      </c>
      <c r="B11" s="2">
        <v>162.9</v>
      </c>
      <c r="C11" s="2">
        <v>17</v>
      </c>
      <c r="D11" s="2">
        <v>162.5</v>
      </c>
      <c r="E11" s="2">
        <v>16.8</v>
      </c>
      <c r="F11" s="2">
        <v>145.1</v>
      </c>
      <c r="G11" s="2">
        <v>14.7</v>
      </c>
      <c r="H11" s="2">
        <v>140.80000000000001</v>
      </c>
      <c r="I11" s="2">
        <v>14.3</v>
      </c>
      <c r="J11" s="2">
        <v>-0.2</v>
      </c>
      <c r="K11" s="2">
        <v>-10.9</v>
      </c>
      <c r="L11" s="2">
        <v>-3</v>
      </c>
      <c r="M11" s="2">
        <v>-13.5</v>
      </c>
      <c r="O11">
        <v>1</v>
      </c>
      <c r="P11" s="1">
        <f t="shared" si="0"/>
        <v>0.99754450583179866</v>
      </c>
      <c r="Q11" s="1">
        <f t="shared" si="1"/>
        <v>0.89073050951503985</v>
      </c>
      <c r="R11" s="1">
        <f t="shared" si="2"/>
        <v>0.8643339472068754</v>
      </c>
    </row>
    <row r="12" spans="1:18" x14ac:dyDescent="0.2">
      <c r="A12">
        <v>22</v>
      </c>
      <c r="B12" s="2">
        <v>173.9</v>
      </c>
      <c r="C12" s="2">
        <v>18.600000000000001</v>
      </c>
      <c r="D12" s="2">
        <v>173.4</v>
      </c>
      <c r="E12" s="2">
        <v>18.600000000000001</v>
      </c>
      <c r="F12" s="2">
        <v>152.9</v>
      </c>
      <c r="G12" s="2">
        <v>15.8</v>
      </c>
      <c r="H12" s="2">
        <v>149</v>
      </c>
      <c r="I12" s="2">
        <v>15.1</v>
      </c>
      <c r="J12" s="2">
        <v>-0.3</v>
      </c>
      <c r="K12" s="2">
        <v>-12.1</v>
      </c>
      <c r="L12" s="2">
        <v>-2.6</v>
      </c>
      <c r="M12" s="2">
        <v>-15.1</v>
      </c>
      <c r="O12">
        <v>1</v>
      </c>
      <c r="P12" s="1">
        <f t="shared" si="0"/>
        <v>0.9971247843588269</v>
      </c>
      <c r="Q12" s="1">
        <f t="shared" si="1"/>
        <v>0.87924094307073031</v>
      </c>
      <c r="R12" s="1">
        <f t="shared" si="2"/>
        <v>0.85681426106958014</v>
      </c>
    </row>
    <row r="13" spans="1:18" x14ac:dyDescent="0.2">
      <c r="A13">
        <v>24</v>
      </c>
      <c r="B13" s="2">
        <v>184.5</v>
      </c>
      <c r="C13" s="2">
        <v>21.1</v>
      </c>
      <c r="D13" s="2">
        <v>182</v>
      </c>
      <c r="E13" s="2">
        <v>20.7</v>
      </c>
      <c r="F13" s="2">
        <v>159.69999999999999</v>
      </c>
      <c r="G13" s="2">
        <v>17.100000000000001</v>
      </c>
      <c r="H13" s="2">
        <v>156.30000000000001</v>
      </c>
      <c r="I13" s="2">
        <v>16.399999999999999</v>
      </c>
      <c r="J13" s="2">
        <v>-1.4</v>
      </c>
      <c r="K13" s="2">
        <v>-13.4</v>
      </c>
      <c r="L13" s="2">
        <v>-2.1</v>
      </c>
      <c r="M13" s="2">
        <v>-19</v>
      </c>
      <c r="O13">
        <v>1</v>
      </c>
      <c r="P13" s="1">
        <f t="shared" si="0"/>
        <v>0.98644986449864502</v>
      </c>
      <c r="Q13" s="1">
        <f t="shared" si="1"/>
        <v>0.86558265582655824</v>
      </c>
      <c r="R13" s="1">
        <f t="shared" si="2"/>
        <v>0.84715447154471546</v>
      </c>
    </row>
    <row r="14" spans="1:18" x14ac:dyDescent="0.2">
      <c r="A14">
        <v>26</v>
      </c>
      <c r="B14" s="2">
        <v>194.5</v>
      </c>
      <c r="C14" s="2">
        <v>22.7</v>
      </c>
      <c r="D14" s="2">
        <v>191.1</v>
      </c>
      <c r="E14" s="2">
        <v>22.9</v>
      </c>
      <c r="F14" s="2">
        <v>167.3</v>
      </c>
      <c r="G14" s="2">
        <v>18.7</v>
      </c>
      <c r="H14" s="2">
        <v>163.5</v>
      </c>
      <c r="I14" s="2">
        <v>18</v>
      </c>
      <c r="J14" s="2">
        <v>-1.7</v>
      </c>
      <c r="K14" s="2">
        <v>-14</v>
      </c>
      <c r="L14" s="2">
        <v>-2.2999999999999998</v>
      </c>
      <c r="M14" s="2">
        <v>-17.600000000000001</v>
      </c>
      <c r="O14">
        <v>1</v>
      </c>
      <c r="P14" s="1">
        <f t="shared" si="0"/>
        <v>0.98251928020565549</v>
      </c>
      <c r="Q14" s="1">
        <f t="shared" si="1"/>
        <v>0.86015424164524423</v>
      </c>
      <c r="R14" s="1">
        <f t="shared" si="2"/>
        <v>0.84061696658097684</v>
      </c>
    </row>
    <row r="15" spans="1:18" x14ac:dyDescent="0.2">
      <c r="A15">
        <v>28</v>
      </c>
      <c r="B15" s="2">
        <v>206.1</v>
      </c>
      <c r="C15" s="2">
        <v>25.2</v>
      </c>
      <c r="D15" s="2">
        <v>204.1</v>
      </c>
      <c r="E15" s="2">
        <v>25.4</v>
      </c>
      <c r="F15" s="2">
        <v>176.1</v>
      </c>
      <c r="G15" s="2">
        <v>20.399999999999999</v>
      </c>
      <c r="H15" s="2">
        <v>172.6</v>
      </c>
      <c r="I15" s="2">
        <v>19.600000000000001</v>
      </c>
      <c r="J15" s="2">
        <v>-1</v>
      </c>
      <c r="K15" s="2">
        <v>-14.6</v>
      </c>
      <c r="L15" s="2">
        <v>-2</v>
      </c>
      <c r="M15" s="2">
        <v>-19</v>
      </c>
      <c r="O15">
        <v>1</v>
      </c>
      <c r="P15" s="1">
        <f t="shared" si="0"/>
        <v>0.99029597282872395</v>
      </c>
      <c r="Q15" s="1">
        <f t="shared" si="1"/>
        <v>0.85443959243085876</v>
      </c>
      <c r="R15" s="1">
        <f t="shared" si="2"/>
        <v>0.83745754488112567</v>
      </c>
    </row>
    <row r="16" spans="1:18" x14ac:dyDescent="0.2">
      <c r="A16">
        <v>30</v>
      </c>
      <c r="B16" s="2">
        <v>218.1</v>
      </c>
      <c r="C16" s="2">
        <v>28.7</v>
      </c>
      <c r="D16" s="2">
        <v>216.5</v>
      </c>
      <c r="E16" s="2">
        <v>28.5</v>
      </c>
      <c r="F16" s="2">
        <v>184.8</v>
      </c>
      <c r="G16" s="2">
        <v>23</v>
      </c>
      <c r="H16" s="2">
        <v>181.5</v>
      </c>
      <c r="I16" s="2">
        <v>22.3</v>
      </c>
      <c r="J16" s="2">
        <v>-0.7</v>
      </c>
      <c r="K16" s="2">
        <v>-15.3</v>
      </c>
      <c r="L16" s="2">
        <v>-1.8</v>
      </c>
      <c r="M16" s="2">
        <v>-19.899999999999999</v>
      </c>
      <c r="O16">
        <v>1</v>
      </c>
      <c r="P16" s="1">
        <f t="shared" si="0"/>
        <v>0.99266391563502987</v>
      </c>
      <c r="Q16" s="1">
        <f t="shared" si="1"/>
        <v>0.84731774415405781</v>
      </c>
      <c r="R16" s="1">
        <f t="shared" si="2"/>
        <v>0.83218707015130677</v>
      </c>
    </row>
    <row r="17" spans="1:18" x14ac:dyDescent="0.2">
      <c r="A17">
        <v>32</v>
      </c>
      <c r="B17" s="2">
        <v>223.3</v>
      </c>
      <c r="C17" s="2">
        <v>29.4</v>
      </c>
      <c r="D17" s="2">
        <v>223.1</v>
      </c>
      <c r="E17" s="2">
        <v>29.5</v>
      </c>
      <c r="F17" s="2">
        <v>189.9</v>
      </c>
      <c r="G17" s="2">
        <v>23.7</v>
      </c>
      <c r="H17" s="2">
        <v>187.8</v>
      </c>
      <c r="I17" s="2">
        <v>23</v>
      </c>
      <c r="J17" s="2">
        <v>-0.1</v>
      </c>
      <c r="K17" s="2">
        <v>-15</v>
      </c>
      <c r="L17" s="2">
        <v>-1.1000000000000001</v>
      </c>
      <c r="M17" s="2">
        <v>-19.399999999999999</v>
      </c>
      <c r="O17">
        <v>1</v>
      </c>
      <c r="P17" s="1">
        <f t="shared" si="0"/>
        <v>0.99910434393193004</v>
      </c>
      <c r="Q17" s="1">
        <f t="shared" si="1"/>
        <v>0.85042543663233316</v>
      </c>
      <c r="R17" s="1">
        <f t="shared" si="2"/>
        <v>0.84102104791759968</v>
      </c>
    </row>
    <row r="18" spans="1:18" x14ac:dyDescent="0.2">
      <c r="A18">
        <v>34</v>
      </c>
      <c r="B18" s="2">
        <v>233.1</v>
      </c>
      <c r="C18" s="2">
        <v>32.9</v>
      </c>
      <c r="D18" s="2">
        <v>231.8</v>
      </c>
      <c r="E18" s="2">
        <v>32.5</v>
      </c>
      <c r="F18" s="2">
        <v>197.3</v>
      </c>
      <c r="G18" s="2">
        <v>25.8</v>
      </c>
      <c r="H18" s="2">
        <v>193.7</v>
      </c>
      <c r="I18" s="2">
        <v>25.4</v>
      </c>
      <c r="J18" s="2">
        <v>-0.6</v>
      </c>
      <c r="K18" s="2">
        <v>-15.4</v>
      </c>
      <c r="L18" s="2">
        <v>-1.8</v>
      </c>
      <c r="M18" s="2">
        <v>-21.6</v>
      </c>
      <c r="O18">
        <v>1</v>
      </c>
      <c r="P18" s="1">
        <f t="shared" si="0"/>
        <v>0.99442299442299453</v>
      </c>
      <c r="Q18" s="1">
        <f t="shared" si="1"/>
        <v>0.84641784641784645</v>
      </c>
      <c r="R18" s="1">
        <f t="shared" si="2"/>
        <v>0.83097383097383093</v>
      </c>
    </row>
    <row r="19" spans="1:18" x14ac:dyDescent="0.2">
      <c r="A19">
        <v>36</v>
      </c>
      <c r="B19" s="2">
        <v>245.5</v>
      </c>
      <c r="C19" s="2">
        <v>37.299999999999997</v>
      </c>
      <c r="D19" s="2">
        <v>246.4</v>
      </c>
      <c r="E19" s="2">
        <v>37.200000000000003</v>
      </c>
      <c r="F19" s="2">
        <v>207</v>
      </c>
      <c r="G19" s="2">
        <v>29.3</v>
      </c>
      <c r="H19" s="2">
        <v>202.8</v>
      </c>
      <c r="I19" s="2">
        <v>28.2</v>
      </c>
      <c r="J19" s="2">
        <v>0.4</v>
      </c>
      <c r="K19" s="2">
        <v>-15.7</v>
      </c>
      <c r="L19" s="2">
        <v>-2</v>
      </c>
      <c r="M19" s="2">
        <v>-21.4</v>
      </c>
      <c r="O19">
        <v>1</v>
      </c>
      <c r="P19" s="1">
        <f t="shared" si="0"/>
        <v>1.0036659877800407</v>
      </c>
      <c r="Q19" s="1">
        <f t="shared" si="1"/>
        <v>0.84317718940936859</v>
      </c>
      <c r="R19" s="1">
        <f t="shared" si="2"/>
        <v>0.82606924643584523</v>
      </c>
    </row>
    <row r="20" spans="1:18" x14ac:dyDescent="0.2">
      <c r="A20">
        <v>38</v>
      </c>
      <c r="B20" s="2">
        <v>254.2</v>
      </c>
      <c r="C20" s="2">
        <v>40.1</v>
      </c>
      <c r="D20" s="2">
        <v>251.5</v>
      </c>
      <c r="E20" s="2">
        <v>39.799999999999997</v>
      </c>
      <c r="F20" s="2">
        <v>213.2</v>
      </c>
      <c r="G20" s="2">
        <v>31.5</v>
      </c>
      <c r="H20" s="2">
        <v>208.7</v>
      </c>
      <c r="I20" s="2">
        <v>31</v>
      </c>
      <c r="J20" s="2">
        <v>-1.1000000000000001</v>
      </c>
      <c r="K20" s="2">
        <v>-16.100000000000001</v>
      </c>
      <c r="L20" s="2">
        <v>-2.1</v>
      </c>
      <c r="M20" s="2">
        <v>-21.4</v>
      </c>
      <c r="O20">
        <v>1</v>
      </c>
      <c r="P20" s="1">
        <f t="shared" si="0"/>
        <v>0.98937844217151849</v>
      </c>
      <c r="Q20" s="1">
        <f t="shared" si="1"/>
        <v>0.83870967741935487</v>
      </c>
      <c r="R20" s="1">
        <f t="shared" si="2"/>
        <v>0.82100708103855236</v>
      </c>
    </row>
    <row r="21" spans="1:18" x14ac:dyDescent="0.2">
      <c r="A21">
        <v>40</v>
      </c>
      <c r="B21" s="2">
        <v>264.39999999999998</v>
      </c>
      <c r="C21" s="2">
        <v>42.8</v>
      </c>
      <c r="D21" s="2">
        <v>262.2</v>
      </c>
      <c r="E21" s="2">
        <v>42.9</v>
      </c>
      <c r="F21" s="2">
        <v>219.9</v>
      </c>
      <c r="G21" s="2">
        <v>33.4</v>
      </c>
      <c r="H21" s="2">
        <v>216.4</v>
      </c>
      <c r="I21" s="2">
        <v>32.5</v>
      </c>
      <c r="J21" s="2">
        <v>-0.8</v>
      </c>
      <c r="K21" s="2">
        <v>-16.8</v>
      </c>
      <c r="L21" s="2">
        <v>-1.6</v>
      </c>
      <c r="M21" s="2">
        <v>-22</v>
      </c>
      <c r="O21">
        <v>1</v>
      </c>
      <c r="P21" s="1">
        <f t="shared" si="0"/>
        <v>0.99167927382753407</v>
      </c>
      <c r="Q21" s="1">
        <f t="shared" si="1"/>
        <v>0.83169440242057502</v>
      </c>
      <c r="R21" s="1">
        <f t="shared" si="2"/>
        <v>0.8184568835098337</v>
      </c>
    </row>
    <row r="22" spans="1:18" x14ac:dyDescent="0.2">
      <c r="A22">
        <v>60</v>
      </c>
      <c r="B22" s="2">
        <v>357.6</v>
      </c>
      <c r="C22" s="2">
        <v>75</v>
      </c>
      <c r="D22" s="2">
        <v>356</v>
      </c>
      <c r="E22" s="2">
        <v>75.400000000000006</v>
      </c>
      <c r="F22" s="2">
        <v>288.60000000000002</v>
      </c>
      <c r="G22" s="2">
        <v>55.8</v>
      </c>
      <c r="H22" s="2">
        <v>285.5</v>
      </c>
      <c r="I22" s="2">
        <v>55.1</v>
      </c>
      <c r="J22" s="2">
        <v>-0.4</v>
      </c>
      <c r="K22" s="2">
        <v>-19.3</v>
      </c>
      <c r="L22" s="2">
        <v>-1.1000000000000001</v>
      </c>
      <c r="M22" s="2">
        <v>-25.6</v>
      </c>
      <c r="O22">
        <v>1</v>
      </c>
      <c r="P22" s="1">
        <f t="shared" si="0"/>
        <v>0.99552572706935116</v>
      </c>
      <c r="Q22" s="1">
        <f t="shared" si="1"/>
        <v>0.80704697986577179</v>
      </c>
      <c r="R22" s="1">
        <f t="shared" si="2"/>
        <v>0.79837807606263977</v>
      </c>
    </row>
    <row r="23" spans="1:18" x14ac:dyDescent="0.2">
      <c r="A23">
        <v>80</v>
      </c>
      <c r="B23" s="2">
        <v>450</v>
      </c>
      <c r="C23" s="2">
        <v>115</v>
      </c>
      <c r="D23" s="2">
        <v>448.7</v>
      </c>
      <c r="E23" s="2">
        <v>114.6</v>
      </c>
      <c r="F23" s="2">
        <v>351.3</v>
      </c>
      <c r="G23" s="2">
        <v>80.5</v>
      </c>
      <c r="H23" s="2">
        <v>350.8</v>
      </c>
      <c r="I23" s="2">
        <v>80.7</v>
      </c>
      <c r="J23" s="2">
        <v>-0.3</v>
      </c>
      <c r="K23" s="2">
        <v>-21.9</v>
      </c>
      <c r="L23" s="2">
        <v>-0.1</v>
      </c>
      <c r="M23" s="2">
        <v>-30</v>
      </c>
      <c r="O23">
        <v>1</v>
      </c>
      <c r="P23" s="1">
        <f t="shared" si="0"/>
        <v>0.99711111111111106</v>
      </c>
      <c r="Q23" s="1">
        <f t="shared" si="1"/>
        <v>0.78066666666666673</v>
      </c>
      <c r="R23" s="1">
        <f t="shared" si="2"/>
        <v>0.77955555555555556</v>
      </c>
    </row>
    <row r="24" spans="1:18" x14ac:dyDescent="0.2">
      <c r="A24">
        <v>100</v>
      </c>
      <c r="B24" s="2">
        <v>537.70000000000005</v>
      </c>
      <c r="C24" s="2">
        <v>167.5</v>
      </c>
      <c r="D24" s="2">
        <v>541.4</v>
      </c>
      <c r="E24" s="2">
        <v>167.9</v>
      </c>
      <c r="F24" s="2">
        <v>413.7</v>
      </c>
      <c r="G24" s="2">
        <v>115.8</v>
      </c>
      <c r="H24" s="2">
        <v>410</v>
      </c>
      <c r="I24" s="2">
        <v>114.4</v>
      </c>
      <c r="J24" s="2">
        <v>0.7</v>
      </c>
      <c r="K24" s="2">
        <v>-23.1</v>
      </c>
      <c r="L24" s="2">
        <v>-0.9</v>
      </c>
      <c r="M24" s="2">
        <v>-30.9</v>
      </c>
      <c r="O24">
        <v>1</v>
      </c>
      <c r="P24" s="1">
        <f t="shared" si="0"/>
        <v>1.0068811604984191</v>
      </c>
      <c r="Q24" s="1">
        <f t="shared" si="1"/>
        <v>0.76938813464757294</v>
      </c>
      <c r="R24" s="1">
        <f t="shared" si="2"/>
        <v>0.76250697414915369</v>
      </c>
    </row>
    <row r="25" spans="1:18" x14ac:dyDescent="0.2">
      <c r="A25">
        <v>120</v>
      </c>
      <c r="B25" s="2">
        <v>629.5</v>
      </c>
      <c r="C25" s="2">
        <v>229.2</v>
      </c>
      <c r="D25" s="2">
        <v>628.9</v>
      </c>
      <c r="E25" s="2">
        <v>228.5</v>
      </c>
      <c r="F25" s="2">
        <v>471.9</v>
      </c>
      <c r="G25" s="2">
        <v>152.6</v>
      </c>
      <c r="H25" s="2">
        <v>470.3</v>
      </c>
      <c r="I25" s="2">
        <v>152.1</v>
      </c>
      <c r="J25" s="2">
        <v>-0.1</v>
      </c>
      <c r="K25" s="2">
        <v>-25</v>
      </c>
      <c r="L25" s="2">
        <v>-0.3</v>
      </c>
      <c r="M25" s="2">
        <v>-33.4</v>
      </c>
      <c r="O25">
        <v>1</v>
      </c>
      <c r="P25" s="1">
        <f t="shared" si="0"/>
        <v>0.9990468625893566</v>
      </c>
      <c r="Q25" s="1">
        <f t="shared" si="1"/>
        <v>0.74964257347100871</v>
      </c>
      <c r="R25" s="1">
        <f t="shared" si="2"/>
        <v>0.74710087370929312</v>
      </c>
    </row>
    <row r="26" spans="1:18" x14ac:dyDescent="0.2">
      <c r="A26">
        <v>140</v>
      </c>
      <c r="B26" s="2">
        <v>727.3</v>
      </c>
      <c r="C26" s="2">
        <v>309.60000000000002</v>
      </c>
      <c r="D26" s="2">
        <v>723.6</v>
      </c>
      <c r="E26" s="2">
        <v>309.5</v>
      </c>
      <c r="F26" s="2">
        <v>532.4</v>
      </c>
      <c r="G26" s="2">
        <v>198.9</v>
      </c>
      <c r="H26" s="2">
        <v>532.5</v>
      </c>
      <c r="I26" s="2">
        <v>198.2</v>
      </c>
      <c r="J26" s="2">
        <v>-0.5</v>
      </c>
      <c r="K26" s="2">
        <v>-26.8</v>
      </c>
      <c r="L26" s="2">
        <v>0</v>
      </c>
      <c r="M26" s="2">
        <v>-35.799999999999997</v>
      </c>
      <c r="O26">
        <v>1</v>
      </c>
      <c r="P26" s="1">
        <f t="shared" si="0"/>
        <v>0.99491269077409605</v>
      </c>
      <c r="Q26" s="1">
        <f t="shared" si="1"/>
        <v>0.73202254915440668</v>
      </c>
      <c r="R26" s="1">
        <f t="shared" si="2"/>
        <v>0.73216004399835011</v>
      </c>
    </row>
    <row r="27" spans="1:18" x14ac:dyDescent="0.2">
      <c r="A27">
        <v>160</v>
      </c>
      <c r="B27" s="2">
        <v>808.7</v>
      </c>
      <c r="C27" s="2">
        <v>393.3</v>
      </c>
      <c r="D27" s="2">
        <v>810.7</v>
      </c>
      <c r="E27" s="2">
        <v>392.5</v>
      </c>
      <c r="F27" s="2">
        <v>587.70000000000005</v>
      </c>
      <c r="G27" s="2">
        <v>248</v>
      </c>
      <c r="H27" s="2">
        <v>585</v>
      </c>
      <c r="I27" s="2">
        <v>245.8</v>
      </c>
      <c r="J27" s="2">
        <v>0.2</v>
      </c>
      <c r="K27" s="2">
        <v>-27.3</v>
      </c>
      <c r="L27" s="2">
        <v>-0.5</v>
      </c>
      <c r="M27" s="2">
        <v>-36.9</v>
      </c>
      <c r="O27">
        <v>1</v>
      </c>
      <c r="P27" s="1">
        <f t="shared" si="0"/>
        <v>1.0024731049833064</v>
      </c>
      <c r="Q27" s="1">
        <f t="shared" si="1"/>
        <v>0.72672189934462716</v>
      </c>
      <c r="R27" s="1">
        <f t="shared" si="2"/>
        <v>0.72338320761716335</v>
      </c>
    </row>
    <row r="28" spans="1:18" x14ac:dyDescent="0.2">
      <c r="A28">
        <v>180</v>
      </c>
      <c r="B28" s="2">
        <v>895.1</v>
      </c>
      <c r="C28" s="2">
        <v>486.4</v>
      </c>
      <c r="D28" s="2">
        <v>896.1</v>
      </c>
      <c r="E28" s="2">
        <v>487.3</v>
      </c>
      <c r="F28" s="2">
        <v>636.29999999999995</v>
      </c>
      <c r="G28" s="2">
        <v>298.7</v>
      </c>
      <c r="H28" s="2">
        <v>636</v>
      </c>
      <c r="I28" s="2">
        <v>298.10000000000002</v>
      </c>
      <c r="J28" s="2">
        <v>0.1</v>
      </c>
      <c r="K28" s="2">
        <v>-28.9</v>
      </c>
      <c r="L28" s="2">
        <v>0</v>
      </c>
      <c r="M28" s="2">
        <v>-38.6</v>
      </c>
      <c r="O28">
        <v>1</v>
      </c>
      <c r="P28" s="1">
        <f t="shared" si="0"/>
        <v>1.0011171936096526</v>
      </c>
      <c r="Q28" s="1">
        <f t="shared" si="1"/>
        <v>0.71087029382191924</v>
      </c>
      <c r="R28" s="1">
        <f t="shared" si="2"/>
        <v>0.7105351357390236</v>
      </c>
    </row>
    <row r="29" spans="1:18" x14ac:dyDescent="0.2">
      <c r="A29">
        <v>200</v>
      </c>
      <c r="B29" s="2">
        <v>984</v>
      </c>
      <c r="C29" s="2">
        <v>650.29999999999995</v>
      </c>
      <c r="D29" s="2">
        <v>982.9</v>
      </c>
      <c r="E29" s="2">
        <v>648.1</v>
      </c>
      <c r="F29" s="2">
        <v>692.7</v>
      </c>
      <c r="G29" s="2">
        <v>394</v>
      </c>
      <c r="H29" s="2">
        <v>691.5</v>
      </c>
      <c r="I29" s="2">
        <v>393</v>
      </c>
      <c r="J29" s="2">
        <v>-0.1</v>
      </c>
      <c r="K29" s="2">
        <v>-29.6</v>
      </c>
      <c r="L29" s="2">
        <v>-0.2</v>
      </c>
      <c r="M29" s="2">
        <v>-39.4</v>
      </c>
      <c r="O29">
        <v>1</v>
      </c>
      <c r="P29" s="1">
        <f t="shared" si="0"/>
        <v>0.99888211382113823</v>
      </c>
      <c r="Q29" s="1">
        <f t="shared" si="1"/>
        <v>0.70396341463414636</v>
      </c>
      <c r="R29" s="1">
        <f t="shared" si="2"/>
        <v>0.7027439024390244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C0165-7B09-2442-A9D2-BF39681A36D2}">
  <dimension ref="A1:R33"/>
  <sheetViews>
    <sheetView workbookViewId="0">
      <selection activeCell="E35" sqref="E35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73.8</v>
      </c>
      <c r="C2" s="2">
        <v>11.6</v>
      </c>
      <c r="D2" s="2">
        <v>47.2</v>
      </c>
      <c r="E2" s="2">
        <v>11.9</v>
      </c>
      <c r="F2" s="2">
        <v>91.7</v>
      </c>
      <c r="G2" s="2">
        <v>10.4</v>
      </c>
      <c r="H2" s="2">
        <v>49.1</v>
      </c>
      <c r="I2" s="2">
        <v>10.6</v>
      </c>
      <c r="J2" s="2">
        <v>-36</v>
      </c>
      <c r="K2" s="2">
        <v>24.3</v>
      </c>
      <c r="L2" s="2">
        <v>-46.5</v>
      </c>
      <c r="M2" s="2">
        <v>-10.3</v>
      </c>
      <c r="O2">
        <v>1</v>
      </c>
      <c r="P2" s="1">
        <f t="shared" ref="P2:P29" si="0">D2/B2</f>
        <v>0.63956639566395668</v>
      </c>
      <c r="Q2" s="1">
        <f t="shared" ref="Q2:Q29" si="1">F2/B2</f>
        <v>1.2425474254742548</v>
      </c>
      <c r="R2" s="1">
        <f t="shared" ref="R2:R29" si="2">H2/B2</f>
        <v>0.66531165311653118</v>
      </c>
    </row>
    <row r="3" spans="1:18" x14ac:dyDescent="0.2">
      <c r="A3">
        <v>4</v>
      </c>
      <c r="B3" s="2">
        <v>148.69999999999999</v>
      </c>
      <c r="C3" s="2">
        <v>17.5</v>
      </c>
      <c r="D3" s="2">
        <v>130.4</v>
      </c>
      <c r="E3" s="2">
        <v>17.399999999999999</v>
      </c>
      <c r="F3" s="2">
        <v>164.9</v>
      </c>
      <c r="G3" s="2">
        <v>14.2</v>
      </c>
      <c r="H3" s="2">
        <v>133.19999999999999</v>
      </c>
      <c r="I3" s="2">
        <v>13.8</v>
      </c>
      <c r="J3" s="2">
        <v>-12.3</v>
      </c>
      <c r="K3" s="2">
        <v>10.9</v>
      </c>
      <c r="L3" s="2">
        <v>-19.2</v>
      </c>
      <c r="M3" s="2">
        <v>-18.899999999999999</v>
      </c>
      <c r="O3">
        <v>1</v>
      </c>
      <c r="P3" s="1">
        <f t="shared" si="0"/>
        <v>0.87693342299932764</v>
      </c>
      <c r="Q3" s="1">
        <f t="shared" si="1"/>
        <v>1.1089441829186282</v>
      </c>
      <c r="R3" s="1">
        <f t="shared" si="2"/>
        <v>0.89576328177538667</v>
      </c>
    </row>
    <row r="4" spans="1:18" x14ac:dyDescent="0.2">
      <c r="A4">
        <v>6</v>
      </c>
      <c r="B4" s="2">
        <v>230.1</v>
      </c>
      <c r="C4" s="2">
        <v>23.9</v>
      </c>
      <c r="D4" s="2">
        <v>202.4</v>
      </c>
      <c r="E4" s="2">
        <v>23</v>
      </c>
      <c r="F4" s="2">
        <v>225.1</v>
      </c>
      <c r="G4" s="2">
        <v>17.5</v>
      </c>
      <c r="H4" s="2">
        <v>194.8</v>
      </c>
      <c r="I4" s="2">
        <v>16.8</v>
      </c>
      <c r="J4" s="2">
        <v>-12</v>
      </c>
      <c r="K4" s="2">
        <v>-2.2000000000000002</v>
      </c>
      <c r="L4" s="2">
        <v>-13.5</v>
      </c>
      <c r="M4" s="2">
        <v>-26.8</v>
      </c>
      <c r="O4">
        <v>1</v>
      </c>
      <c r="P4" s="1">
        <f t="shared" si="0"/>
        <v>0.87961755758365934</v>
      </c>
      <c r="Q4" s="1">
        <f t="shared" si="1"/>
        <v>0.9782703172533681</v>
      </c>
      <c r="R4" s="1">
        <f t="shared" si="2"/>
        <v>0.84658843980877885</v>
      </c>
    </row>
    <row r="5" spans="1:18" x14ac:dyDescent="0.2">
      <c r="A5">
        <v>8</v>
      </c>
      <c r="B5" s="2">
        <v>296.10000000000002</v>
      </c>
      <c r="C5" s="2">
        <v>30.3</v>
      </c>
      <c r="D5" s="2">
        <v>276.10000000000002</v>
      </c>
      <c r="E5" s="2">
        <v>29.6</v>
      </c>
      <c r="F5" s="2">
        <v>283.89999999999998</v>
      </c>
      <c r="G5" s="2">
        <v>20.399999999999999</v>
      </c>
      <c r="H5" s="2">
        <v>256.2</v>
      </c>
      <c r="I5" s="2">
        <v>20.2</v>
      </c>
      <c r="J5" s="2">
        <v>-6.8</v>
      </c>
      <c r="K5" s="2">
        <v>-4.0999999999999996</v>
      </c>
      <c r="L5" s="2">
        <v>-9.8000000000000007</v>
      </c>
      <c r="M5" s="2">
        <v>-32.700000000000003</v>
      </c>
      <c r="O5">
        <v>1</v>
      </c>
      <c r="P5" s="1">
        <f t="shared" si="0"/>
        <v>0.93245525160418774</v>
      </c>
      <c r="Q5" s="1">
        <f t="shared" si="1"/>
        <v>0.95879770347855442</v>
      </c>
      <c r="R5" s="1">
        <f t="shared" si="2"/>
        <v>0.86524822695035453</v>
      </c>
    </row>
    <row r="6" spans="1:18" x14ac:dyDescent="0.2">
      <c r="A6">
        <v>10</v>
      </c>
      <c r="B6" s="2">
        <v>338.3</v>
      </c>
      <c r="C6" s="2">
        <v>35.5</v>
      </c>
      <c r="D6" s="2">
        <v>325</v>
      </c>
      <c r="E6" s="2">
        <v>36.1</v>
      </c>
      <c r="F6" s="2">
        <v>321.5</v>
      </c>
      <c r="G6" s="2">
        <v>23.9</v>
      </c>
      <c r="H6" s="2">
        <v>302.3</v>
      </c>
      <c r="I6" s="2">
        <v>23</v>
      </c>
      <c r="J6" s="2">
        <v>-3.9</v>
      </c>
      <c r="K6" s="2">
        <v>-5</v>
      </c>
      <c r="L6" s="2">
        <v>-6</v>
      </c>
      <c r="M6" s="2">
        <v>-32.700000000000003</v>
      </c>
      <c r="O6">
        <v>1</v>
      </c>
      <c r="P6" s="1">
        <f t="shared" si="0"/>
        <v>0.96068578185042863</v>
      </c>
      <c r="Q6" s="1">
        <f t="shared" si="1"/>
        <v>0.95033993496896241</v>
      </c>
      <c r="R6" s="1">
        <f t="shared" si="2"/>
        <v>0.893585574933491</v>
      </c>
    </row>
    <row r="7" spans="1:18" x14ac:dyDescent="0.2">
      <c r="A7">
        <v>12</v>
      </c>
      <c r="B7" s="2">
        <v>379.9</v>
      </c>
      <c r="C7" s="2">
        <v>41</v>
      </c>
      <c r="D7" s="2">
        <v>368.5</v>
      </c>
      <c r="E7" s="2">
        <v>39.9</v>
      </c>
      <c r="F7" s="2">
        <v>361.8</v>
      </c>
      <c r="G7" s="2">
        <v>26.9</v>
      </c>
      <c r="H7" s="2">
        <v>343</v>
      </c>
      <c r="I7" s="2">
        <v>26.1</v>
      </c>
      <c r="J7" s="2">
        <v>-3</v>
      </c>
      <c r="K7" s="2">
        <v>-4.8</v>
      </c>
      <c r="L7" s="2">
        <v>-5.2</v>
      </c>
      <c r="M7" s="2">
        <v>-34.4</v>
      </c>
      <c r="O7">
        <v>1</v>
      </c>
      <c r="P7" s="1">
        <f t="shared" si="0"/>
        <v>0.9699921031850488</v>
      </c>
      <c r="Q7" s="1">
        <f t="shared" si="1"/>
        <v>0.95235588312713881</v>
      </c>
      <c r="R7" s="1">
        <f t="shared" si="2"/>
        <v>0.90286917609897344</v>
      </c>
    </row>
    <row r="8" spans="1:18" x14ac:dyDescent="0.2">
      <c r="A8">
        <v>14</v>
      </c>
      <c r="B8" s="2">
        <v>416.3</v>
      </c>
      <c r="C8" s="2">
        <v>47</v>
      </c>
      <c r="D8" s="2">
        <v>403.6</v>
      </c>
      <c r="E8" s="2">
        <v>46.8</v>
      </c>
      <c r="F8" s="2">
        <v>394.9</v>
      </c>
      <c r="G8" s="2">
        <v>29.5</v>
      </c>
      <c r="H8" s="2">
        <v>378.8</v>
      </c>
      <c r="I8" s="2">
        <v>29.4</v>
      </c>
      <c r="J8" s="2">
        <v>-3.1</v>
      </c>
      <c r="K8" s="2">
        <v>-5.0999999999999996</v>
      </c>
      <c r="L8" s="2">
        <v>-4.0999999999999996</v>
      </c>
      <c r="M8" s="2">
        <v>-37.200000000000003</v>
      </c>
      <c r="O8">
        <v>1</v>
      </c>
      <c r="P8" s="1">
        <f t="shared" si="0"/>
        <v>0.96949315397549851</v>
      </c>
      <c r="Q8" s="1">
        <f t="shared" si="1"/>
        <v>0.94859476339178472</v>
      </c>
      <c r="R8" s="1">
        <f t="shared" si="2"/>
        <v>0.90992073024261355</v>
      </c>
    </row>
    <row r="9" spans="1:18" x14ac:dyDescent="0.2">
      <c r="A9">
        <v>16</v>
      </c>
      <c r="B9" s="2">
        <v>451</v>
      </c>
      <c r="C9" s="2">
        <v>54.2</v>
      </c>
      <c r="D9" s="2">
        <v>442.8</v>
      </c>
      <c r="E9" s="2">
        <v>53.7</v>
      </c>
      <c r="F9" s="2">
        <v>423.8</v>
      </c>
      <c r="G9" s="2">
        <v>33.6</v>
      </c>
      <c r="H9" s="2">
        <v>412.2</v>
      </c>
      <c r="I9" s="2">
        <v>33.700000000000003</v>
      </c>
      <c r="J9" s="2">
        <v>-1.8</v>
      </c>
      <c r="K9" s="2">
        <v>-6</v>
      </c>
      <c r="L9" s="2">
        <v>-2.7</v>
      </c>
      <c r="M9" s="2">
        <v>-38</v>
      </c>
      <c r="O9">
        <v>1</v>
      </c>
      <c r="P9" s="1">
        <f t="shared" si="0"/>
        <v>0.98181818181818181</v>
      </c>
      <c r="Q9" s="1">
        <f t="shared" si="1"/>
        <v>0.93968957871396896</v>
      </c>
      <c r="R9" s="1">
        <f t="shared" si="2"/>
        <v>0.91396895787139687</v>
      </c>
    </row>
    <row r="10" spans="1:18" x14ac:dyDescent="0.2">
      <c r="A10">
        <v>18</v>
      </c>
      <c r="B10" s="2">
        <v>481.9</v>
      </c>
      <c r="C10" s="2">
        <v>61.1</v>
      </c>
      <c r="D10" s="2">
        <v>473.2</v>
      </c>
      <c r="E10" s="2">
        <v>60.7</v>
      </c>
      <c r="F10" s="2">
        <v>450.5</v>
      </c>
      <c r="G10" s="2">
        <v>37.200000000000003</v>
      </c>
      <c r="H10" s="2">
        <v>438.1</v>
      </c>
      <c r="I10" s="2">
        <v>37</v>
      </c>
      <c r="J10" s="2">
        <v>-1.8</v>
      </c>
      <c r="K10" s="2">
        <v>-6.5</v>
      </c>
      <c r="L10" s="2">
        <v>-2.8</v>
      </c>
      <c r="M10" s="2">
        <v>-39.1</v>
      </c>
      <c r="O10">
        <v>1</v>
      </c>
      <c r="P10" s="1">
        <f t="shared" si="0"/>
        <v>0.98194646192156054</v>
      </c>
      <c r="Q10" s="1">
        <f t="shared" si="1"/>
        <v>0.93484125337206891</v>
      </c>
      <c r="R10" s="1">
        <f t="shared" si="2"/>
        <v>0.90910977381199432</v>
      </c>
    </row>
    <row r="11" spans="1:18" x14ac:dyDescent="0.2">
      <c r="A11">
        <v>20</v>
      </c>
      <c r="B11" s="2">
        <v>505.8</v>
      </c>
      <c r="C11" s="2">
        <v>68</v>
      </c>
      <c r="D11" s="2">
        <v>498.5</v>
      </c>
      <c r="E11" s="2">
        <v>67.099999999999994</v>
      </c>
      <c r="F11" s="2">
        <v>469.4</v>
      </c>
      <c r="G11" s="2">
        <v>41.3</v>
      </c>
      <c r="H11" s="2">
        <v>457.2</v>
      </c>
      <c r="I11" s="2">
        <v>40.6</v>
      </c>
      <c r="J11" s="2">
        <v>-1.4</v>
      </c>
      <c r="K11" s="2">
        <v>-7.2</v>
      </c>
      <c r="L11" s="2">
        <v>-2.6</v>
      </c>
      <c r="M11" s="2">
        <v>-39.299999999999997</v>
      </c>
      <c r="O11">
        <v>1</v>
      </c>
      <c r="P11" s="1">
        <f t="shared" si="0"/>
        <v>0.98556741795175962</v>
      </c>
      <c r="Q11" s="1">
        <f t="shared" si="1"/>
        <v>0.92803479636219843</v>
      </c>
      <c r="R11" s="1">
        <f t="shared" si="2"/>
        <v>0.90391459074733094</v>
      </c>
    </row>
    <row r="12" spans="1:18" x14ac:dyDescent="0.2">
      <c r="A12">
        <v>22</v>
      </c>
      <c r="B12" s="2">
        <v>532.5</v>
      </c>
      <c r="C12" s="2">
        <v>81.099999999999994</v>
      </c>
      <c r="D12" s="2">
        <v>522.20000000000005</v>
      </c>
      <c r="E12" s="2">
        <v>81.5</v>
      </c>
      <c r="F12" s="2">
        <v>489.2</v>
      </c>
      <c r="G12" s="2">
        <v>48.4</v>
      </c>
      <c r="H12" s="2">
        <v>480.6</v>
      </c>
      <c r="I12" s="2">
        <v>48.7</v>
      </c>
      <c r="J12" s="2">
        <v>-1.9</v>
      </c>
      <c r="K12" s="2">
        <v>-8.1</v>
      </c>
      <c r="L12" s="2">
        <v>-1.8</v>
      </c>
      <c r="M12" s="2">
        <v>-40.299999999999997</v>
      </c>
      <c r="O12">
        <v>1</v>
      </c>
      <c r="P12" s="1">
        <f t="shared" si="0"/>
        <v>0.98065727699530525</v>
      </c>
      <c r="Q12" s="1">
        <f t="shared" si="1"/>
        <v>0.91868544600938962</v>
      </c>
      <c r="R12" s="1">
        <f t="shared" si="2"/>
        <v>0.90253521126760572</v>
      </c>
    </row>
    <row r="13" spans="1:18" x14ac:dyDescent="0.2">
      <c r="A13">
        <v>24</v>
      </c>
      <c r="B13" s="2">
        <v>559.4</v>
      </c>
      <c r="C13" s="2">
        <v>91</v>
      </c>
      <c r="D13" s="2">
        <v>550.79999999999995</v>
      </c>
      <c r="E13" s="2">
        <v>92.1</v>
      </c>
      <c r="F13" s="2">
        <v>513.29999999999995</v>
      </c>
      <c r="G13" s="2">
        <v>54.6</v>
      </c>
      <c r="H13" s="2">
        <v>502.7</v>
      </c>
      <c r="I13" s="2">
        <v>55.7</v>
      </c>
      <c r="J13" s="2">
        <v>-1.5</v>
      </c>
      <c r="K13" s="2">
        <v>-8.1999999999999993</v>
      </c>
      <c r="L13" s="2">
        <v>-2.1</v>
      </c>
      <c r="M13" s="2">
        <v>-40</v>
      </c>
      <c r="O13">
        <v>1</v>
      </c>
      <c r="P13" s="1">
        <f t="shared" si="0"/>
        <v>0.98462638541294245</v>
      </c>
      <c r="Q13" s="1">
        <f t="shared" si="1"/>
        <v>0.91759027529495885</v>
      </c>
      <c r="R13" s="1">
        <f t="shared" si="2"/>
        <v>0.89864140150160887</v>
      </c>
    </row>
    <row r="14" spans="1:18" x14ac:dyDescent="0.2">
      <c r="A14">
        <v>26</v>
      </c>
      <c r="B14" s="2">
        <v>587.20000000000005</v>
      </c>
      <c r="C14" s="2">
        <v>97.7</v>
      </c>
      <c r="D14" s="2">
        <v>579.20000000000005</v>
      </c>
      <c r="E14" s="2">
        <v>97.2</v>
      </c>
      <c r="F14" s="2">
        <v>533.5</v>
      </c>
      <c r="G14" s="2">
        <v>58.7</v>
      </c>
      <c r="H14" s="2">
        <v>524.1</v>
      </c>
      <c r="I14" s="2">
        <v>58.8</v>
      </c>
      <c r="J14" s="2">
        <v>-1.4</v>
      </c>
      <c r="K14" s="2">
        <v>-9.1</v>
      </c>
      <c r="L14" s="2">
        <v>-1.8</v>
      </c>
      <c r="M14" s="2">
        <v>-39.9</v>
      </c>
      <c r="O14">
        <v>1</v>
      </c>
      <c r="P14" s="1">
        <f t="shared" si="0"/>
        <v>0.98637602179836514</v>
      </c>
      <c r="Q14" s="1">
        <f t="shared" si="1"/>
        <v>0.90854904632152578</v>
      </c>
      <c r="R14" s="1">
        <f t="shared" si="2"/>
        <v>0.89254087193460485</v>
      </c>
    </row>
    <row r="15" spans="1:18" x14ac:dyDescent="0.2">
      <c r="A15">
        <v>28</v>
      </c>
      <c r="B15" s="2">
        <v>612.70000000000005</v>
      </c>
      <c r="C15" s="2">
        <v>103.9</v>
      </c>
      <c r="D15" s="2">
        <v>601.1</v>
      </c>
      <c r="E15" s="2">
        <v>103.5</v>
      </c>
      <c r="F15" s="2">
        <v>554.70000000000005</v>
      </c>
      <c r="G15" s="2">
        <v>62.4</v>
      </c>
      <c r="H15" s="2">
        <v>544.29999999999995</v>
      </c>
      <c r="I15" s="2">
        <v>62.4</v>
      </c>
      <c r="J15" s="2">
        <v>-1.9</v>
      </c>
      <c r="K15" s="2">
        <v>-9.5</v>
      </c>
      <c r="L15" s="2">
        <v>-1.9</v>
      </c>
      <c r="M15" s="2">
        <v>-39.9</v>
      </c>
      <c r="O15">
        <v>1</v>
      </c>
      <c r="P15" s="1">
        <f t="shared" si="0"/>
        <v>0.9810674065611229</v>
      </c>
      <c r="Q15" s="1">
        <f t="shared" si="1"/>
        <v>0.90533703280561451</v>
      </c>
      <c r="R15" s="1">
        <f t="shared" si="2"/>
        <v>0.88836298351558662</v>
      </c>
    </row>
    <row r="16" spans="1:18" x14ac:dyDescent="0.2">
      <c r="A16">
        <v>30</v>
      </c>
      <c r="B16" s="2">
        <v>637.20000000000005</v>
      </c>
      <c r="C16" s="2">
        <v>102.6</v>
      </c>
      <c r="D16" s="2">
        <v>629.4</v>
      </c>
      <c r="E16" s="2">
        <v>102.1</v>
      </c>
      <c r="F16" s="2">
        <v>575.70000000000005</v>
      </c>
      <c r="G16" s="2">
        <v>62.4</v>
      </c>
      <c r="H16" s="2">
        <v>565.4</v>
      </c>
      <c r="I16" s="2">
        <v>61.2</v>
      </c>
      <c r="J16" s="2">
        <v>-1.2</v>
      </c>
      <c r="K16" s="2">
        <v>-9.6999999999999993</v>
      </c>
      <c r="L16" s="2">
        <v>-1.8</v>
      </c>
      <c r="M16" s="2">
        <v>-39.200000000000003</v>
      </c>
      <c r="O16">
        <v>1</v>
      </c>
      <c r="P16" s="1">
        <f t="shared" si="0"/>
        <v>0.9877589453860639</v>
      </c>
      <c r="Q16" s="1">
        <f t="shared" si="1"/>
        <v>0.90348399246704336</v>
      </c>
      <c r="R16" s="1">
        <f t="shared" si="2"/>
        <v>0.88731952291274319</v>
      </c>
    </row>
    <row r="17" spans="1:18" x14ac:dyDescent="0.2">
      <c r="A17">
        <v>32</v>
      </c>
      <c r="B17" s="2">
        <v>659.8</v>
      </c>
      <c r="C17" s="2">
        <v>100.5</v>
      </c>
      <c r="D17" s="2">
        <v>650.1</v>
      </c>
      <c r="E17" s="2">
        <v>98.3</v>
      </c>
      <c r="F17" s="2">
        <v>593.79999999999995</v>
      </c>
      <c r="G17" s="2">
        <v>60.8</v>
      </c>
      <c r="H17" s="2">
        <v>583.79999999999995</v>
      </c>
      <c r="I17" s="2">
        <v>59.4</v>
      </c>
      <c r="J17" s="2">
        <v>-1.5</v>
      </c>
      <c r="K17" s="2">
        <v>-10</v>
      </c>
      <c r="L17" s="2">
        <v>-1.7</v>
      </c>
      <c r="M17" s="2">
        <v>-39.5</v>
      </c>
      <c r="O17">
        <v>1</v>
      </c>
      <c r="P17" s="1">
        <f t="shared" si="0"/>
        <v>0.98529857532585641</v>
      </c>
      <c r="Q17" s="1">
        <f t="shared" si="1"/>
        <v>0.89996968778417696</v>
      </c>
      <c r="R17" s="1">
        <f t="shared" si="2"/>
        <v>0.88481357987268872</v>
      </c>
    </row>
    <row r="18" spans="1:18" x14ac:dyDescent="0.2">
      <c r="A18">
        <v>34</v>
      </c>
      <c r="B18" s="2">
        <v>689.1</v>
      </c>
      <c r="C18" s="2">
        <v>108.4</v>
      </c>
      <c r="D18" s="2">
        <v>680.6</v>
      </c>
      <c r="E18" s="2">
        <v>108.8</v>
      </c>
      <c r="F18" s="2">
        <v>617.20000000000005</v>
      </c>
      <c r="G18" s="2">
        <v>66.099999999999994</v>
      </c>
      <c r="H18" s="2">
        <v>604.79999999999995</v>
      </c>
      <c r="I18" s="2">
        <v>64.8</v>
      </c>
      <c r="J18" s="2">
        <v>-1.2</v>
      </c>
      <c r="K18" s="2">
        <v>-10.4</v>
      </c>
      <c r="L18" s="2">
        <v>-2</v>
      </c>
      <c r="M18" s="2">
        <v>-39</v>
      </c>
      <c r="O18">
        <v>1</v>
      </c>
      <c r="P18" s="1">
        <f t="shared" si="0"/>
        <v>0.98766507038165718</v>
      </c>
      <c r="Q18" s="1">
        <f t="shared" si="1"/>
        <v>0.89566100711072416</v>
      </c>
      <c r="R18" s="1">
        <f t="shared" si="2"/>
        <v>0.87766652154984748</v>
      </c>
    </row>
    <row r="19" spans="1:18" x14ac:dyDescent="0.2">
      <c r="A19">
        <v>36</v>
      </c>
      <c r="B19" s="2">
        <v>712.6</v>
      </c>
      <c r="C19" s="2">
        <v>116.8</v>
      </c>
      <c r="D19" s="2">
        <v>704.2</v>
      </c>
      <c r="E19" s="2">
        <v>115.3</v>
      </c>
      <c r="F19" s="2">
        <v>635.29999999999995</v>
      </c>
      <c r="G19" s="2">
        <v>70.5</v>
      </c>
      <c r="H19" s="2">
        <v>624.5</v>
      </c>
      <c r="I19" s="2">
        <v>69.900000000000006</v>
      </c>
      <c r="J19" s="2">
        <v>-1.2</v>
      </c>
      <c r="K19" s="2">
        <v>-10.8</v>
      </c>
      <c r="L19" s="2">
        <v>-1.7</v>
      </c>
      <c r="M19" s="2">
        <v>-39.6</v>
      </c>
      <c r="O19">
        <v>1</v>
      </c>
      <c r="P19" s="1">
        <f t="shared" si="0"/>
        <v>0.98821218074656192</v>
      </c>
      <c r="Q19" s="1">
        <f t="shared" si="1"/>
        <v>0.89152399663205151</v>
      </c>
      <c r="R19" s="1">
        <f t="shared" si="2"/>
        <v>0.87636822902048828</v>
      </c>
    </row>
    <row r="20" spans="1:18" x14ac:dyDescent="0.2">
      <c r="A20">
        <v>38</v>
      </c>
      <c r="B20" s="2">
        <v>738</v>
      </c>
      <c r="C20" s="2">
        <v>124.4</v>
      </c>
      <c r="D20" s="2">
        <v>727.7</v>
      </c>
      <c r="E20" s="2">
        <v>123.4</v>
      </c>
      <c r="F20" s="2">
        <v>653.1</v>
      </c>
      <c r="G20" s="2">
        <v>75.8</v>
      </c>
      <c r="H20" s="2">
        <v>645.6</v>
      </c>
      <c r="I20" s="2">
        <v>74.599999999999994</v>
      </c>
      <c r="J20" s="2">
        <v>-1.4</v>
      </c>
      <c r="K20" s="2">
        <v>-11.5</v>
      </c>
      <c r="L20" s="2">
        <v>-1.1000000000000001</v>
      </c>
      <c r="M20" s="2">
        <v>-39.1</v>
      </c>
      <c r="O20">
        <v>1</v>
      </c>
      <c r="P20" s="1">
        <f t="shared" si="0"/>
        <v>0.98604336043360441</v>
      </c>
      <c r="Q20" s="1">
        <f t="shared" si="1"/>
        <v>0.88495934959349598</v>
      </c>
      <c r="R20" s="1">
        <f t="shared" si="2"/>
        <v>0.87479674796747975</v>
      </c>
    </row>
    <row r="21" spans="1:18" x14ac:dyDescent="0.2">
      <c r="A21">
        <v>40</v>
      </c>
      <c r="B21" s="2">
        <v>764.9</v>
      </c>
      <c r="C21" s="2">
        <v>133.19999999999999</v>
      </c>
      <c r="D21" s="2">
        <v>755.7</v>
      </c>
      <c r="E21" s="2">
        <v>133</v>
      </c>
      <c r="F21" s="2">
        <v>677.1</v>
      </c>
      <c r="G21" s="2">
        <v>81.7</v>
      </c>
      <c r="H21" s="2">
        <v>665.5</v>
      </c>
      <c r="I21" s="2">
        <v>80</v>
      </c>
      <c r="J21" s="2">
        <v>-1.2</v>
      </c>
      <c r="K21" s="2">
        <v>-11.5</v>
      </c>
      <c r="L21" s="2">
        <v>-1.7</v>
      </c>
      <c r="M21" s="2">
        <v>-38.700000000000003</v>
      </c>
      <c r="O21">
        <v>1</v>
      </c>
      <c r="P21" s="1">
        <f t="shared" si="0"/>
        <v>0.98797228395868752</v>
      </c>
      <c r="Q21" s="1">
        <f t="shared" si="1"/>
        <v>0.88521375343182118</v>
      </c>
      <c r="R21" s="1">
        <f t="shared" si="2"/>
        <v>0.8700483723362531</v>
      </c>
    </row>
    <row r="22" spans="1:18" x14ac:dyDescent="0.2">
      <c r="A22">
        <v>60</v>
      </c>
      <c r="B22" s="2">
        <v>1001.6</v>
      </c>
      <c r="C22" s="2">
        <v>231.3</v>
      </c>
      <c r="D22" s="2">
        <v>994.9</v>
      </c>
      <c r="E22" s="2">
        <v>230.3</v>
      </c>
      <c r="F22" s="2">
        <v>867.5</v>
      </c>
      <c r="G22" s="2">
        <v>144.6</v>
      </c>
      <c r="H22" s="2">
        <v>858.3</v>
      </c>
      <c r="I22" s="2">
        <v>141.69999999999999</v>
      </c>
      <c r="J22" s="2">
        <v>-0.7</v>
      </c>
      <c r="K22" s="2">
        <v>-13.4</v>
      </c>
      <c r="L22" s="2">
        <v>-1.1000000000000001</v>
      </c>
      <c r="M22" s="2">
        <v>-37.5</v>
      </c>
      <c r="O22">
        <v>1</v>
      </c>
      <c r="P22" s="1">
        <f t="shared" si="0"/>
        <v>0.99331070287539935</v>
      </c>
      <c r="Q22" s="1">
        <f t="shared" si="1"/>
        <v>0.86611421725239612</v>
      </c>
      <c r="R22" s="1">
        <f t="shared" si="2"/>
        <v>0.85692891373801905</v>
      </c>
    </row>
    <row r="23" spans="1:18" x14ac:dyDescent="0.2">
      <c r="A23">
        <v>80</v>
      </c>
      <c r="B23" s="2">
        <v>1256.7</v>
      </c>
      <c r="C23" s="2">
        <v>365.1</v>
      </c>
      <c r="D23" s="2">
        <v>1248.2</v>
      </c>
      <c r="E23" s="2">
        <v>363.8</v>
      </c>
      <c r="F23" s="2">
        <v>1066.8</v>
      </c>
      <c r="G23" s="2">
        <v>233</v>
      </c>
      <c r="H23" s="2">
        <v>1058.4000000000001</v>
      </c>
      <c r="I23" s="2">
        <v>229.2</v>
      </c>
      <c r="J23" s="2">
        <v>-0.7</v>
      </c>
      <c r="K23" s="2">
        <v>-15.1</v>
      </c>
      <c r="L23" s="2">
        <v>-0.8</v>
      </c>
      <c r="M23" s="2">
        <v>-36.200000000000003</v>
      </c>
      <c r="O23">
        <v>1</v>
      </c>
      <c r="P23" s="1">
        <f t="shared" si="0"/>
        <v>0.99323625368027368</v>
      </c>
      <c r="Q23" s="1">
        <f t="shared" si="1"/>
        <v>0.8488899498687037</v>
      </c>
      <c r="R23" s="1">
        <f t="shared" si="2"/>
        <v>0.84220577703509192</v>
      </c>
    </row>
    <row r="24" spans="1:18" x14ac:dyDescent="0.2">
      <c r="A24">
        <v>100</v>
      </c>
      <c r="B24" s="2">
        <v>1494.3</v>
      </c>
      <c r="C24" s="2">
        <v>533.1</v>
      </c>
      <c r="D24" s="2">
        <v>1483.4</v>
      </c>
      <c r="E24" s="2">
        <v>533.70000000000005</v>
      </c>
      <c r="F24" s="2">
        <v>1256.5999999999999</v>
      </c>
      <c r="G24" s="2">
        <v>345.9</v>
      </c>
      <c r="H24" s="2">
        <v>1246.3</v>
      </c>
      <c r="I24" s="2">
        <v>341.1</v>
      </c>
      <c r="J24" s="2">
        <v>-0.7</v>
      </c>
      <c r="K24" s="2">
        <v>-15.9</v>
      </c>
      <c r="L24" s="2">
        <v>-0.8</v>
      </c>
      <c r="M24" s="2">
        <v>-35.1</v>
      </c>
      <c r="O24">
        <v>1</v>
      </c>
      <c r="P24" s="1">
        <f t="shared" si="0"/>
        <v>0.99270561466907592</v>
      </c>
      <c r="Q24" s="1">
        <f t="shared" si="1"/>
        <v>0.84092886301278191</v>
      </c>
      <c r="R24" s="1">
        <f t="shared" si="2"/>
        <v>0.83403600347989026</v>
      </c>
    </row>
    <row r="25" spans="1:18" x14ac:dyDescent="0.2">
      <c r="A25">
        <v>120</v>
      </c>
      <c r="B25" s="2">
        <v>1734.8</v>
      </c>
      <c r="C25" s="2">
        <v>708.1</v>
      </c>
      <c r="D25" s="2">
        <v>1727.6</v>
      </c>
      <c r="E25" s="2">
        <v>705.2</v>
      </c>
      <c r="F25" s="2">
        <v>1445</v>
      </c>
      <c r="G25" s="2">
        <v>461.3</v>
      </c>
      <c r="H25" s="2">
        <v>1434.6</v>
      </c>
      <c r="I25" s="2">
        <v>456.1</v>
      </c>
      <c r="J25" s="2">
        <v>-0.4</v>
      </c>
      <c r="K25" s="2">
        <v>-16.7</v>
      </c>
      <c r="L25" s="2">
        <v>-0.7</v>
      </c>
      <c r="M25" s="2">
        <v>-34.9</v>
      </c>
      <c r="O25">
        <v>1</v>
      </c>
      <c r="P25" s="1">
        <f t="shared" si="0"/>
        <v>0.9958496656675121</v>
      </c>
      <c r="Q25" s="1">
        <f t="shared" si="1"/>
        <v>0.83294904311736229</v>
      </c>
      <c r="R25" s="1">
        <f t="shared" si="2"/>
        <v>0.82695411574821298</v>
      </c>
    </row>
    <row r="26" spans="1:18" x14ac:dyDescent="0.2">
      <c r="A26">
        <v>140</v>
      </c>
      <c r="B26" s="2">
        <v>1976.9</v>
      </c>
      <c r="C26" s="2">
        <v>924.2</v>
      </c>
      <c r="D26" s="2">
        <v>1967.7</v>
      </c>
      <c r="E26" s="2">
        <v>920</v>
      </c>
      <c r="F26" s="2">
        <v>1631.3</v>
      </c>
      <c r="G26" s="2">
        <v>600.20000000000005</v>
      </c>
      <c r="H26" s="2">
        <v>1622.1</v>
      </c>
      <c r="I26" s="2">
        <v>594.6</v>
      </c>
      <c r="J26" s="2">
        <v>-0.5</v>
      </c>
      <c r="K26" s="2">
        <v>-17.5</v>
      </c>
      <c r="L26" s="2">
        <v>-0.6</v>
      </c>
      <c r="M26" s="2">
        <v>-35.1</v>
      </c>
      <c r="O26">
        <v>1</v>
      </c>
      <c r="P26" s="1">
        <f t="shared" si="0"/>
        <v>0.99534624917800596</v>
      </c>
      <c r="Q26" s="1">
        <f t="shared" si="1"/>
        <v>0.8251808386868329</v>
      </c>
      <c r="R26" s="1">
        <f t="shared" si="2"/>
        <v>0.82052708786483886</v>
      </c>
    </row>
    <row r="27" spans="1:18" x14ac:dyDescent="0.2">
      <c r="A27">
        <v>160</v>
      </c>
      <c r="B27" s="2">
        <v>2218.5</v>
      </c>
      <c r="C27" s="2">
        <v>1201.8</v>
      </c>
      <c r="D27" s="2">
        <v>2209.5</v>
      </c>
      <c r="E27" s="2">
        <v>1202.9000000000001</v>
      </c>
      <c r="F27" s="2">
        <v>1822.4</v>
      </c>
      <c r="G27" s="2">
        <v>782.2</v>
      </c>
      <c r="H27" s="2">
        <v>1814.6</v>
      </c>
      <c r="I27" s="2">
        <v>773</v>
      </c>
      <c r="J27" s="2">
        <v>-0.4</v>
      </c>
      <c r="K27" s="2">
        <v>-17.899999999999999</v>
      </c>
      <c r="L27" s="2">
        <v>-0.4</v>
      </c>
      <c r="M27" s="2">
        <v>-34.9</v>
      </c>
      <c r="O27">
        <v>1</v>
      </c>
      <c r="P27" s="1">
        <f t="shared" si="0"/>
        <v>0.99594320486815413</v>
      </c>
      <c r="Q27" s="1">
        <f t="shared" si="1"/>
        <v>0.82145593869731803</v>
      </c>
      <c r="R27" s="1">
        <f t="shared" si="2"/>
        <v>0.81794004958305155</v>
      </c>
    </row>
    <row r="28" spans="1:18" x14ac:dyDescent="0.2">
      <c r="A28">
        <v>180</v>
      </c>
      <c r="B28" s="2">
        <v>2459.8000000000002</v>
      </c>
      <c r="C28" s="2">
        <v>1490.2</v>
      </c>
      <c r="D28" s="2">
        <v>2439.9</v>
      </c>
      <c r="E28" s="2">
        <v>1473.9</v>
      </c>
      <c r="F28" s="2">
        <v>2003.6</v>
      </c>
      <c r="G28" s="2">
        <v>955.1</v>
      </c>
      <c r="H28" s="2">
        <v>1992.1</v>
      </c>
      <c r="I28" s="2">
        <v>951.1</v>
      </c>
      <c r="J28" s="2">
        <v>-0.8</v>
      </c>
      <c r="K28" s="2">
        <v>-18.5</v>
      </c>
      <c r="L28" s="2">
        <v>-0.6</v>
      </c>
      <c r="M28" s="2">
        <v>-35.9</v>
      </c>
      <c r="O28">
        <v>1</v>
      </c>
      <c r="P28" s="1">
        <f t="shared" si="0"/>
        <v>0.99190991137490847</v>
      </c>
      <c r="Q28" s="1">
        <f t="shared" si="1"/>
        <v>0.81453776729815419</v>
      </c>
      <c r="R28" s="1">
        <f t="shared" si="2"/>
        <v>0.80986259045450837</v>
      </c>
    </row>
    <row r="29" spans="1:18" x14ac:dyDescent="0.2">
      <c r="A29">
        <v>200</v>
      </c>
      <c r="B29" s="2">
        <v>2706.6</v>
      </c>
      <c r="C29" s="2">
        <v>1885.2</v>
      </c>
      <c r="D29" s="2">
        <v>2686.1</v>
      </c>
      <c r="E29" s="2">
        <v>1886.6</v>
      </c>
      <c r="F29" s="2">
        <v>2190.6999999999998</v>
      </c>
      <c r="G29" s="2">
        <v>1212.4000000000001</v>
      </c>
      <c r="H29" s="2">
        <v>2182.1999999999998</v>
      </c>
      <c r="I29" s="2">
        <v>1204.9000000000001</v>
      </c>
      <c r="J29" s="2">
        <v>-0.8</v>
      </c>
      <c r="K29" s="2">
        <v>-19.100000000000001</v>
      </c>
      <c r="L29" s="2">
        <v>-0.4</v>
      </c>
      <c r="M29" s="2">
        <v>-35.700000000000003</v>
      </c>
      <c r="O29">
        <v>1</v>
      </c>
      <c r="P29" s="1">
        <f t="shared" si="0"/>
        <v>0.99242592182073452</v>
      </c>
      <c r="Q29" s="1">
        <f t="shared" si="1"/>
        <v>0.80939185694228921</v>
      </c>
      <c r="R29" s="1">
        <f t="shared" si="2"/>
        <v>0.80625138550210596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A12C3-65E8-3749-A9AC-304E10D2DC73}">
  <dimension ref="A1:R33"/>
  <sheetViews>
    <sheetView workbookViewId="0">
      <selection activeCell="J36" sqref="J36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12.7</v>
      </c>
      <c r="C2" s="2">
        <v>2.2000000000000002</v>
      </c>
      <c r="D2" s="2">
        <v>13.2</v>
      </c>
      <c r="E2" s="2">
        <v>2.2999999999999998</v>
      </c>
      <c r="F2" s="2">
        <v>13.8</v>
      </c>
      <c r="G2" s="2">
        <v>3.3</v>
      </c>
      <c r="H2" s="2">
        <v>12.1</v>
      </c>
      <c r="I2" s="2">
        <v>3</v>
      </c>
      <c r="J2" s="2">
        <v>3.9</v>
      </c>
      <c r="K2" s="2">
        <v>8.6999999999999993</v>
      </c>
      <c r="L2" s="2">
        <v>-12.3</v>
      </c>
      <c r="M2" s="2">
        <v>50</v>
      </c>
      <c r="O2">
        <v>1</v>
      </c>
      <c r="P2" s="1">
        <f t="shared" ref="P2:P29" si="0">D2/B2</f>
        <v>1.0393700787401574</v>
      </c>
      <c r="Q2" s="1">
        <f t="shared" ref="Q2:Q29" si="1">F2/B2</f>
        <v>1.0866141732283465</v>
      </c>
      <c r="R2" s="1">
        <f t="shared" ref="R2:R29" si="2">H2/B2</f>
        <v>0.952755905511811</v>
      </c>
    </row>
    <row r="3" spans="1:18" x14ac:dyDescent="0.2">
      <c r="A3">
        <v>4</v>
      </c>
      <c r="B3" s="2">
        <v>23.5</v>
      </c>
      <c r="C3" s="2">
        <v>2.9</v>
      </c>
      <c r="D3" s="2">
        <v>22.8</v>
      </c>
      <c r="E3" s="2">
        <v>2.8</v>
      </c>
      <c r="F3" s="2">
        <v>25.5</v>
      </c>
      <c r="G3" s="2">
        <v>4</v>
      </c>
      <c r="H3" s="2">
        <v>19.899999999999999</v>
      </c>
      <c r="I3" s="2">
        <v>3.6</v>
      </c>
      <c r="J3" s="2">
        <v>-3</v>
      </c>
      <c r="K3" s="2">
        <v>8.5</v>
      </c>
      <c r="L3" s="2">
        <v>-22</v>
      </c>
      <c r="M3" s="2">
        <v>37.9</v>
      </c>
      <c r="O3">
        <v>1</v>
      </c>
      <c r="P3" s="1">
        <f t="shared" si="0"/>
        <v>0.97021276595744688</v>
      </c>
      <c r="Q3" s="1">
        <f t="shared" si="1"/>
        <v>1.0851063829787233</v>
      </c>
      <c r="R3" s="1">
        <f t="shared" si="2"/>
        <v>0.84680851063829776</v>
      </c>
    </row>
    <row r="4" spans="1:18" x14ac:dyDescent="0.2">
      <c r="A4">
        <v>6</v>
      </c>
      <c r="B4" s="2">
        <v>29.3</v>
      </c>
      <c r="C4" s="2">
        <v>3.4</v>
      </c>
      <c r="D4" s="2">
        <v>30.1</v>
      </c>
      <c r="E4" s="2">
        <v>3.4</v>
      </c>
      <c r="F4" s="2">
        <v>32.9</v>
      </c>
      <c r="G4" s="2">
        <v>4.5999999999999996</v>
      </c>
      <c r="H4" s="2">
        <v>25.9</v>
      </c>
      <c r="I4" s="2">
        <v>4</v>
      </c>
      <c r="J4" s="2">
        <v>2.7</v>
      </c>
      <c r="K4" s="2">
        <v>12.3</v>
      </c>
      <c r="L4" s="2">
        <v>-21.3</v>
      </c>
      <c r="M4" s="2">
        <v>35.299999999999997</v>
      </c>
      <c r="O4">
        <v>1</v>
      </c>
      <c r="P4" s="1">
        <f t="shared" si="0"/>
        <v>1.0273037542662116</v>
      </c>
      <c r="Q4" s="1">
        <f t="shared" si="1"/>
        <v>1.122866894197952</v>
      </c>
      <c r="R4" s="1">
        <f t="shared" si="2"/>
        <v>0.88395904436860062</v>
      </c>
    </row>
    <row r="5" spans="1:18" x14ac:dyDescent="0.2">
      <c r="A5">
        <v>8</v>
      </c>
      <c r="B5" s="2">
        <v>38.1</v>
      </c>
      <c r="C5" s="2">
        <v>4.3</v>
      </c>
      <c r="D5" s="2">
        <v>36.799999999999997</v>
      </c>
      <c r="E5" s="2">
        <v>3.8</v>
      </c>
      <c r="F5" s="2">
        <v>41.7</v>
      </c>
      <c r="G5" s="2">
        <v>5.3</v>
      </c>
      <c r="H5" s="2">
        <v>31.4</v>
      </c>
      <c r="I5" s="2">
        <v>4.5999999999999996</v>
      </c>
      <c r="J5" s="2">
        <v>-3.4</v>
      </c>
      <c r="K5" s="2">
        <v>9.4</v>
      </c>
      <c r="L5" s="2">
        <v>-24.7</v>
      </c>
      <c r="M5" s="2">
        <v>23.3</v>
      </c>
      <c r="O5">
        <v>1</v>
      </c>
      <c r="P5" s="1">
        <f t="shared" si="0"/>
        <v>0.96587926509186339</v>
      </c>
      <c r="Q5" s="1">
        <f t="shared" si="1"/>
        <v>1.094488188976378</v>
      </c>
      <c r="R5" s="1">
        <f t="shared" si="2"/>
        <v>0.82414698162729649</v>
      </c>
    </row>
    <row r="6" spans="1:18" x14ac:dyDescent="0.2">
      <c r="A6">
        <v>10</v>
      </c>
      <c r="B6" s="2">
        <v>43</v>
      </c>
      <c r="C6" s="2">
        <v>4.5999999999999996</v>
      </c>
      <c r="D6" s="2">
        <v>41.7</v>
      </c>
      <c r="E6" s="2">
        <v>4.2</v>
      </c>
      <c r="F6" s="2">
        <v>47.5</v>
      </c>
      <c r="G6" s="2">
        <v>5.9</v>
      </c>
      <c r="H6" s="2">
        <v>35</v>
      </c>
      <c r="I6" s="2">
        <v>5</v>
      </c>
      <c r="J6" s="2">
        <v>-3</v>
      </c>
      <c r="K6" s="2">
        <v>10.5</v>
      </c>
      <c r="L6" s="2">
        <v>-26.3</v>
      </c>
      <c r="M6" s="2">
        <v>28.3</v>
      </c>
      <c r="O6">
        <v>1</v>
      </c>
      <c r="P6" s="1">
        <f t="shared" si="0"/>
        <v>0.96976744186046515</v>
      </c>
      <c r="Q6" s="1">
        <f t="shared" si="1"/>
        <v>1.1046511627906976</v>
      </c>
      <c r="R6" s="1">
        <f t="shared" si="2"/>
        <v>0.81395348837209303</v>
      </c>
    </row>
    <row r="7" spans="1:18" x14ac:dyDescent="0.2">
      <c r="A7">
        <v>12</v>
      </c>
      <c r="B7" s="2">
        <v>47.5</v>
      </c>
      <c r="C7" s="2">
        <v>5.0999999999999996</v>
      </c>
      <c r="D7" s="2">
        <v>45.7</v>
      </c>
      <c r="E7" s="2">
        <v>4.5999999999999996</v>
      </c>
      <c r="F7" s="2">
        <v>50.9</v>
      </c>
      <c r="G7" s="2">
        <v>6.3</v>
      </c>
      <c r="H7" s="2">
        <v>39</v>
      </c>
      <c r="I7" s="2">
        <v>5.6</v>
      </c>
      <c r="J7" s="2">
        <v>-3.8</v>
      </c>
      <c r="K7" s="2">
        <v>7.2</v>
      </c>
      <c r="L7" s="2">
        <v>-23.4</v>
      </c>
      <c r="M7" s="2">
        <v>23.5</v>
      </c>
      <c r="O7">
        <v>1</v>
      </c>
      <c r="P7" s="1">
        <f t="shared" si="0"/>
        <v>0.9621052631578948</v>
      </c>
      <c r="Q7" s="1">
        <f t="shared" si="1"/>
        <v>1.071578947368421</v>
      </c>
      <c r="R7" s="1">
        <f t="shared" si="2"/>
        <v>0.82105263157894737</v>
      </c>
    </row>
    <row r="8" spans="1:18" x14ac:dyDescent="0.2">
      <c r="A8">
        <v>14</v>
      </c>
      <c r="B8" s="2">
        <v>53.6</v>
      </c>
      <c r="C8" s="2">
        <v>5.9</v>
      </c>
      <c r="D8" s="2">
        <v>50.6</v>
      </c>
      <c r="E8" s="2">
        <v>5.3</v>
      </c>
      <c r="F8" s="2">
        <v>56.7</v>
      </c>
      <c r="G8" s="2">
        <v>7</v>
      </c>
      <c r="H8" s="2">
        <v>42.5</v>
      </c>
      <c r="I8" s="2">
        <v>6.1</v>
      </c>
      <c r="J8" s="2">
        <v>-5.6</v>
      </c>
      <c r="K8" s="2">
        <v>5.8</v>
      </c>
      <c r="L8" s="2">
        <v>-25</v>
      </c>
      <c r="M8" s="2">
        <v>18.600000000000001</v>
      </c>
      <c r="O8">
        <v>1</v>
      </c>
      <c r="P8" s="1">
        <f t="shared" si="0"/>
        <v>0.94402985074626866</v>
      </c>
      <c r="Q8" s="1">
        <f t="shared" si="1"/>
        <v>1.0578358208955223</v>
      </c>
      <c r="R8" s="1">
        <f t="shared" si="2"/>
        <v>0.79291044776119401</v>
      </c>
    </row>
    <row r="9" spans="1:18" x14ac:dyDescent="0.2">
      <c r="A9">
        <v>16</v>
      </c>
      <c r="B9" s="2">
        <v>57.7</v>
      </c>
      <c r="C9" s="2">
        <v>7.2</v>
      </c>
      <c r="D9" s="2">
        <v>54.1</v>
      </c>
      <c r="E9" s="2">
        <v>6.8</v>
      </c>
      <c r="F9" s="2">
        <v>61.2</v>
      </c>
      <c r="G9" s="2">
        <v>9.1</v>
      </c>
      <c r="H9" s="2">
        <v>44.7</v>
      </c>
      <c r="I9" s="2">
        <v>7.4</v>
      </c>
      <c r="J9" s="2">
        <v>-6.2</v>
      </c>
      <c r="K9" s="2">
        <v>6.1</v>
      </c>
      <c r="L9" s="2">
        <v>-27</v>
      </c>
      <c r="M9" s="2">
        <v>26.4</v>
      </c>
      <c r="O9">
        <v>1</v>
      </c>
      <c r="P9" s="1">
        <f t="shared" si="0"/>
        <v>0.93760831889081453</v>
      </c>
      <c r="Q9" s="1">
        <f t="shared" si="1"/>
        <v>1.0606585788561524</v>
      </c>
      <c r="R9" s="1">
        <f t="shared" si="2"/>
        <v>0.77469670710571925</v>
      </c>
    </row>
    <row r="10" spans="1:18" x14ac:dyDescent="0.2">
      <c r="A10">
        <v>18</v>
      </c>
      <c r="B10" s="2">
        <v>62.6</v>
      </c>
      <c r="C10" s="2">
        <v>9.5</v>
      </c>
      <c r="D10" s="2">
        <v>57.5</v>
      </c>
      <c r="E10" s="2">
        <v>8.1</v>
      </c>
      <c r="F10" s="2">
        <v>65.2</v>
      </c>
      <c r="G10" s="2">
        <v>10.9</v>
      </c>
      <c r="H10" s="2">
        <v>46.8</v>
      </c>
      <c r="I10" s="2">
        <v>9.3000000000000007</v>
      </c>
      <c r="J10" s="2">
        <v>-8.1</v>
      </c>
      <c r="K10" s="2">
        <v>4.2</v>
      </c>
      <c r="L10" s="2">
        <v>-28.2</v>
      </c>
      <c r="M10" s="2">
        <v>14.7</v>
      </c>
      <c r="O10">
        <v>1</v>
      </c>
      <c r="P10" s="1">
        <f t="shared" si="0"/>
        <v>0.91853035143769968</v>
      </c>
      <c r="Q10" s="1">
        <f t="shared" si="1"/>
        <v>1.0415335463258786</v>
      </c>
      <c r="R10" s="1">
        <f t="shared" si="2"/>
        <v>0.74760383386581464</v>
      </c>
    </row>
    <row r="11" spans="1:18" x14ac:dyDescent="0.2">
      <c r="A11">
        <v>20</v>
      </c>
      <c r="B11" s="2">
        <v>70.8</v>
      </c>
      <c r="C11" s="2">
        <v>10.3</v>
      </c>
      <c r="D11" s="2">
        <v>61.7</v>
      </c>
      <c r="E11" s="2">
        <v>9</v>
      </c>
      <c r="F11" s="2">
        <v>71.5</v>
      </c>
      <c r="G11" s="2">
        <v>11.7</v>
      </c>
      <c r="H11" s="2">
        <v>50.1</v>
      </c>
      <c r="I11" s="2">
        <v>10.3</v>
      </c>
      <c r="J11" s="2">
        <v>-12.9</v>
      </c>
      <c r="K11" s="2">
        <v>1</v>
      </c>
      <c r="L11" s="2">
        <v>-29.9</v>
      </c>
      <c r="M11" s="2">
        <v>13.6</v>
      </c>
      <c r="O11">
        <v>1</v>
      </c>
      <c r="P11" s="1">
        <f t="shared" si="0"/>
        <v>0.87146892655367236</v>
      </c>
      <c r="Q11" s="1">
        <f t="shared" si="1"/>
        <v>1.0098870056497176</v>
      </c>
      <c r="R11" s="1">
        <f t="shared" si="2"/>
        <v>0.7076271186440678</v>
      </c>
    </row>
    <row r="12" spans="1:18" x14ac:dyDescent="0.2">
      <c r="A12">
        <v>22</v>
      </c>
      <c r="B12" s="2">
        <v>71.400000000000006</v>
      </c>
      <c r="C12" s="2">
        <v>9.6</v>
      </c>
      <c r="D12" s="2">
        <v>65.3</v>
      </c>
      <c r="E12" s="2">
        <v>8.3000000000000007</v>
      </c>
      <c r="F12" s="2">
        <v>73.8</v>
      </c>
      <c r="G12" s="2">
        <v>10.8</v>
      </c>
      <c r="H12" s="2">
        <v>52.5</v>
      </c>
      <c r="I12" s="2">
        <v>9.1</v>
      </c>
      <c r="J12" s="2">
        <v>-8.5</v>
      </c>
      <c r="K12" s="2">
        <v>3.4</v>
      </c>
      <c r="L12" s="2">
        <v>-28.9</v>
      </c>
      <c r="M12" s="2">
        <v>12.5</v>
      </c>
      <c r="O12">
        <v>1</v>
      </c>
      <c r="P12" s="1">
        <f t="shared" si="0"/>
        <v>0.91456582633053207</v>
      </c>
      <c r="Q12" s="1">
        <f t="shared" si="1"/>
        <v>1.0336134453781511</v>
      </c>
      <c r="R12" s="1">
        <f t="shared" si="2"/>
        <v>0.73529411764705876</v>
      </c>
    </row>
    <row r="13" spans="1:18" x14ac:dyDescent="0.2">
      <c r="A13">
        <v>24</v>
      </c>
      <c r="B13" s="2">
        <v>73.7</v>
      </c>
      <c r="C13" s="2">
        <v>9.9</v>
      </c>
      <c r="D13" s="2">
        <v>67.5</v>
      </c>
      <c r="E13" s="2">
        <v>9.1</v>
      </c>
      <c r="F13" s="2">
        <v>77.2</v>
      </c>
      <c r="G13" s="2">
        <v>11.2</v>
      </c>
      <c r="H13" s="2">
        <v>54.3</v>
      </c>
      <c r="I13" s="2">
        <v>9.6</v>
      </c>
      <c r="J13" s="2">
        <v>-8.4</v>
      </c>
      <c r="K13" s="2">
        <v>4.7</v>
      </c>
      <c r="L13" s="2">
        <v>-29.7</v>
      </c>
      <c r="M13" s="2">
        <v>13.1</v>
      </c>
      <c r="O13">
        <v>1</v>
      </c>
      <c r="P13" s="1">
        <f t="shared" si="0"/>
        <v>0.91587516960651283</v>
      </c>
      <c r="Q13" s="1">
        <f t="shared" si="1"/>
        <v>1.0474898236092265</v>
      </c>
      <c r="R13" s="1">
        <f t="shared" si="2"/>
        <v>0.73677069199457257</v>
      </c>
    </row>
    <row r="14" spans="1:18" x14ac:dyDescent="0.2">
      <c r="A14">
        <v>26</v>
      </c>
      <c r="B14" s="2">
        <v>78.099999999999994</v>
      </c>
      <c r="C14" s="2">
        <v>9.6999999999999993</v>
      </c>
      <c r="D14" s="2">
        <v>71.099999999999994</v>
      </c>
      <c r="E14" s="2">
        <v>9</v>
      </c>
      <c r="F14" s="2">
        <v>81.099999999999994</v>
      </c>
      <c r="G14" s="2">
        <v>11.1</v>
      </c>
      <c r="H14" s="2">
        <v>55.8</v>
      </c>
      <c r="I14" s="2">
        <v>9.3000000000000007</v>
      </c>
      <c r="J14" s="2">
        <v>-9</v>
      </c>
      <c r="K14" s="2">
        <v>3.8</v>
      </c>
      <c r="L14" s="2">
        <v>-31.2</v>
      </c>
      <c r="M14" s="2">
        <v>14.4</v>
      </c>
      <c r="O14">
        <v>1</v>
      </c>
      <c r="P14" s="1">
        <f t="shared" si="0"/>
        <v>0.91037131882202305</v>
      </c>
      <c r="Q14" s="1">
        <f t="shared" si="1"/>
        <v>1.0384122919334187</v>
      </c>
      <c r="R14" s="1">
        <f t="shared" si="2"/>
        <v>0.71446862996158778</v>
      </c>
    </row>
    <row r="15" spans="1:18" x14ac:dyDescent="0.2">
      <c r="A15">
        <v>28</v>
      </c>
      <c r="B15" s="2">
        <v>83.6</v>
      </c>
      <c r="C15" s="2">
        <v>11.3</v>
      </c>
      <c r="D15" s="2">
        <v>74.2</v>
      </c>
      <c r="E15" s="2">
        <v>9.9</v>
      </c>
      <c r="F15" s="2">
        <v>79.8</v>
      </c>
      <c r="G15" s="2">
        <v>12.3</v>
      </c>
      <c r="H15" s="2">
        <v>58.2</v>
      </c>
      <c r="I15" s="2">
        <v>10.3</v>
      </c>
      <c r="J15" s="2">
        <v>-11.2</v>
      </c>
      <c r="K15" s="2">
        <v>-4.5</v>
      </c>
      <c r="L15" s="2">
        <v>-27.1</v>
      </c>
      <c r="M15" s="2">
        <v>8.8000000000000007</v>
      </c>
      <c r="O15">
        <v>1</v>
      </c>
      <c r="P15" s="1">
        <f t="shared" si="0"/>
        <v>0.88755980861244033</v>
      </c>
      <c r="Q15" s="1">
        <f t="shared" si="1"/>
        <v>0.95454545454545459</v>
      </c>
      <c r="R15" s="1">
        <f t="shared" si="2"/>
        <v>0.69617224880382789</v>
      </c>
    </row>
    <row r="16" spans="1:18" x14ac:dyDescent="0.2">
      <c r="A16">
        <v>30</v>
      </c>
      <c r="B16" s="2">
        <v>86.4</v>
      </c>
      <c r="C16" s="2">
        <v>11.4</v>
      </c>
      <c r="D16" s="2">
        <v>77.8</v>
      </c>
      <c r="E16" s="2">
        <v>10.5</v>
      </c>
      <c r="F16" s="2">
        <v>85.2</v>
      </c>
      <c r="G16" s="2">
        <v>12.1</v>
      </c>
      <c r="H16" s="2">
        <v>60.1</v>
      </c>
      <c r="I16" s="2">
        <v>10.199999999999999</v>
      </c>
      <c r="J16" s="2">
        <v>-10</v>
      </c>
      <c r="K16" s="2">
        <v>-1.4</v>
      </c>
      <c r="L16" s="2">
        <v>-29.5</v>
      </c>
      <c r="M16" s="2">
        <v>6.1</v>
      </c>
      <c r="O16">
        <v>1</v>
      </c>
      <c r="P16" s="1">
        <f t="shared" si="0"/>
        <v>0.90046296296296291</v>
      </c>
      <c r="Q16" s="1">
        <f t="shared" si="1"/>
        <v>0.98611111111111105</v>
      </c>
      <c r="R16" s="1">
        <f t="shared" si="2"/>
        <v>0.69560185185185186</v>
      </c>
    </row>
    <row r="17" spans="1:18" x14ac:dyDescent="0.2">
      <c r="A17">
        <v>32</v>
      </c>
      <c r="B17" s="2">
        <v>91</v>
      </c>
      <c r="C17" s="2">
        <v>15</v>
      </c>
      <c r="D17" s="2">
        <v>80.5</v>
      </c>
      <c r="E17" s="2">
        <v>13.6</v>
      </c>
      <c r="F17" s="2">
        <v>86.4</v>
      </c>
      <c r="G17" s="2">
        <v>16.2</v>
      </c>
      <c r="H17" s="2">
        <v>62.4</v>
      </c>
      <c r="I17" s="2">
        <v>14</v>
      </c>
      <c r="J17" s="2">
        <v>-11.5</v>
      </c>
      <c r="K17" s="2">
        <v>-5.0999999999999996</v>
      </c>
      <c r="L17" s="2">
        <v>-27.8</v>
      </c>
      <c r="M17" s="2">
        <v>8</v>
      </c>
      <c r="O17">
        <v>1</v>
      </c>
      <c r="P17" s="1">
        <f t="shared" si="0"/>
        <v>0.88461538461538458</v>
      </c>
      <c r="Q17" s="1">
        <f t="shared" si="1"/>
        <v>0.94945054945054952</v>
      </c>
      <c r="R17" s="1">
        <f t="shared" si="2"/>
        <v>0.68571428571428572</v>
      </c>
    </row>
    <row r="18" spans="1:18" x14ac:dyDescent="0.2">
      <c r="A18">
        <v>34</v>
      </c>
      <c r="B18" s="2">
        <v>92.8</v>
      </c>
      <c r="C18" s="2">
        <v>16.3</v>
      </c>
      <c r="D18" s="2">
        <v>83.1</v>
      </c>
      <c r="E18" s="2">
        <v>14.3</v>
      </c>
      <c r="F18" s="2">
        <v>88.6</v>
      </c>
      <c r="G18" s="2">
        <v>17.2</v>
      </c>
      <c r="H18" s="2">
        <v>63.7</v>
      </c>
      <c r="I18" s="2">
        <v>14.8</v>
      </c>
      <c r="J18" s="2">
        <v>-10.5</v>
      </c>
      <c r="K18" s="2">
        <v>-4.5</v>
      </c>
      <c r="L18" s="2">
        <v>-28.1</v>
      </c>
      <c r="M18" s="2">
        <v>5.5</v>
      </c>
      <c r="O18">
        <v>1</v>
      </c>
      <c r="P18" s="1">
        <f t="shared" si="0"/>
        <v>0.89547413793103448</v>
      </c>
      <c r="Q18" s="1">
        <f t="shared" si="1"/>
        <v>0.95474137931034475</v>
      </c>
      <c r="R18" s="1">
        <f t="shared" si="2"/>
        <v>0.68642241379310354</v>
      </c>
    </row>
    <row r="19" spans="1:18" x14ac:dyDescent="0.2">
      <c r="A19">
        <v>36</v>
      </c>
      <c r="B19" s="2">
        <v>94.7</v>
      </c>
      <c r="C19" s="2">
        <v>13.7</v>
      </c>
      <c r="D19" s="2">
        <v>86.5</v>
      </c>
      <c r="E19" s="2">
        <v>12.3</v>
      </c>
      <c r="F19" s="2">
        <v>91.6</v>
      </c>
      <c r="G19" s="2">
        <v>14.1</v>
      </c>
      <c r="H19" s="2">
        <v>65.8</v>
      </c>
      <c r="I19" s="2">
        <v>12.1</v>
      </c>
      <c r="J19" s="2">
        <v>-8.6999999999999993</v>
      </c>
      <c r="K19" s="2">
        <v>-3.3</v>
      </c>
      <c r="L19" s="2">
        <v>-28.2</v>
      </c>
      <c r="M19" s="2">
        <v>2.9</v>
      </c>
      <c r="O19">
        <v>1</v>
      </c>
      <c r="P19" s="1">
        <f t="shared" si="0"/>
        <v>0.91341077085533262</v>
      </c>
      <c r="Q19" s="1">
        <f t="shared" si="1"/>
        <v>0.9672650475184793</v>
      </c>
      <c r="R19" s="1">
        <f t="shared" si="2"/>
        <v>0.69482576557550157</v>
      </c>
    </row>
    <row r="20" spans="1:18" x14ac:dyDescent="0.2">
      <c r="A20">
        <v>38</v>
      </c>
      <c r="B20" s="2">
        <v>100</v>
      </c>
      <c r="C20" s="2">
        <v>16</v>
      </c>
      <c r="D20" s="2">
        <v>89</v>
      </c>
      <c r="E20" s="2">
        <v>14</v>
      </c>
      <c r="F20" s="2">
        <v>94</v>
      </c>
      <c r="G20" s="2">
        <v>16</v>
      </c>
      <c r="H20" s="2">
        <v>67.7</v>
      </c>
      <c r="I20" s="2">
        <v>13.4</v>
      </c>
      <c r="J20" s="2">
        <v>-11</v>
      </c>
      <c r="K20" s="2">
        <v>-6</v>
      </c>
      <c r="L20" s="2">
        <v>-28</v>
      </c>
      <c r="M20" s="2">
        <v>0</v>
      </c>
      <c r="O20">
        <v>1</v>
      </c>
      <c r="P20" s="1">
        <f t="shared" si="0"/>
        <v>0.89</v>
      </c>
      <c r="Q20" s="1">
        <f t="shared" si="1"/>
        <v>0.94</v>
      </c>
      <c r="R20" s="1">
        <f t="shared" si="2"/>
        <v>0.67700000000000005</v>
      </c>
    </row>
    <row r="21" spans="1:18" x14ac:dyDescent="0.2">
      <c r="A21">
        <v>40</v>
      </c>
      <c r="B21" s="2">
        <v>102.7</v>
      </c>
      <c r="C21" s="2">
        <v>15</v>
      </c>
      <c r="D21" s="2">
        <v>92.4</v>
      </c>
      <c r="E21" s="2">
        <v>13.4</v>
      </c>
      <c r="F21" s="2">
        <v>96.7</v>
      </c>
      <c r="G21" s="2">
        <v>15</v>
      </c>
      <c r="H21" s="2">
        <v>70.099999999999994</v>
      </c>
      <c r="I21" s="2">
        <v>13.4</v>
      </c>
      <c r="J21" s="2">
        <v>-10</v>
      </c>
      <c r="K21" s="2">
        <v>-5.8</v>
      </c>
      <c r="L21" s="2">
        <v>-27.5</v>
      </c>
      <c r="M21" s="2">
        <v>0</v>
      </c>
      <c r="O21">
        <v>1</v>
      </c>
      <c r="P21" s="1">
        <f t="shared" si="0"/>
        <v>0.89970788704965921</v>
      </c>
      <c r="Q21" s="1">
        <f t="shared" si="1"/>
        <v>0.94157740993184036</v>
      </c>
      <c r="R21" s="1">
        <f t="shared" si="2"/>
        <v>0.68257059396299891</v>
      </c>
    </row>
    <row r="22" spans="1:18" x14ac:dyDescent="0.2">
      <c r="A22">
        <v>60</v>
      </c>
      <c r="B22" s="2">
        <v>140.30000000000001</v>
      </c>
      <c r="C22" s="2">
        <v>25.2</v>
      </c>
      <c r="D22" s="2">
        <v>119.4</v>
      </c>
      <c r="E22" s="2">
        <v>21.8</v>
      </c>
      <c r="F22" s="2">
        <v>118.9</v>
      </c>
      <c r="G22" s="2">
        <v>22.5</v>
      </c>
      <c r="H22" s="2">
        <v>85.1</v>
      </c>
      <c r="I22" s="2">
        <v>18.899999999999999</v>
      </c>
      <c r="J22" s="2">
        <v>-14.9</v>
      </c>
      <c r="K22" s="2">
        <v>-15.3</v>
      </c>
      <c r="L22" s="2">
        <v>-28.4</v>
      </c>
      <c r="M22" s="2">
        <v>-10.7</v>
      </c>
      <c r="O22">
        <v>1</v>
      </c>
      <c r="P22" s="1">
        <f t="shared" si="0"/>
        <v>0.85103349964362074</v>
      </c>
      <c r="Q22" s="1">
        <f t="shared" si="1"/>
        <v>0.84746970776906627</v>
      </c>
      <c r="R22" s="1">
        <f t="shared" si="2"/>
        <v>0.60655737704918022</v>
      </c>
    </row>
    <row r="23" spans="1:18" x14ac:dyDescent="0.2">
      <c r="A23">
        <v>80</v>
      </c>
      <c r="B23" s="2">
        <v>168.3</v>
      </c>
      <c r="C23" s="2">
        <v>36.299999999999997</v>
      </c>
      <c r="D23" s="2">
        <v>143.6</v>
      </c>
      <c r="E23" s="2">
        <v>31.8</v>
      </c>
      <c r="F23" s="2">
        <v>132.4</v>
      </c>
      <c r="G23" s="2">
        <v>29.7</v>
      </c>
      <c r="H23" s="2">
        <v>98</v>
      </c>
      <c r="I23" s="2">
        <v>25</v>
      </c>
      <c r="J23" s="2">
        <v>-14.7</v>
      </c>
      <c r="K23" s="2">
        <v>-21.3</v>
      </c>
      <c r="L23" s="2">
        <v>-26</v>
      </c>
      <c r="M23" s="2">
        <v>-18.2</v>
      </c>
      <c r="O23">
        <v>1</v>
      </c>
      <c r="P23" s="1">
        <f t="shared" si="0"/>
        <v>0.85323826500297084</v>
      </c>
      <c r="Q23" s="1">
        <f t="shared" si="1"/>
        <v>0.78669043374925729</v>
      </c>
      <c r="R23" s="1">
        <f t="shared" si="2"/>
        <v>0.58229352346999397</v>
      </c>
    </row>
    <row r="24" spans="1:18" x14ac:dyDescent="0.2">
      <c r="A24">
        <v>100</v>
      </c>
      <c r="B24" s="2">
        <v>199</v>
      </c>
      <c r="C24" s="2">
        <v>51.8</v>
      </c>
      <c r="D24" s="2">
        <v>167.9</v>
      </c>
      <c r="E24" s="2">
        <v>44</v>
      </c>
      <c r="F24" s="2">
        <v>150.19999999999999</v>
      </c>
      <c r="G24" s="2">
        <v>39</v>
      </c>
      <c r="H24" s="2">
        <v>111</v>
      </c>
      <c r="I24" s="2">
        <v>34.5</v>
      </c>
      <c r="J24" s="2">
        <v>-15.6</v>
      </c>
      <c r="K24" s="2">
        <v>-24.5</v>
      </c>
      <c r="L24" s="2">
        <v>-26.1</v>
      </c>
      <c r="M24" s="2">
        <v>-24.7</v>
      </c>
      <c r="O24">
        <v>1</v>
      </c>
      <c r="P24" s="1">
        <f t="shared" si="0"/>
        <v>0.8437185929648241</v>
      </c>
      <c r="Q24" s="1">
        <f t="shared" si="1"/>
        <v>0.75477386934673363</v>
      </c>
      <c r="R24" s="1">
        <f t="shared" si="2"/>
        <v>0.55778894472361806</v>
      </c>
    </row>
    <row r="25" spans="1:18" x14ac:dyDescent="0.2">
      <c r="A25">
        <v>120</v>
      </c>
      <c r="B25" s="2">
        <v>218.9</v>
      </c>
      <c r="C25" s="2">
        <v>82.3</v>
      </c>
      <c r="D25" s="2">
        <v>190.1</v>
      </c>
      <c r="E25" s="2">
        <v>72.599999999999994</v>
      </c>
      <c r="F25" s="2">
        <v>157.30000000000001</v>
      </c>
      <c r="G25" s="2">
        <v>59.7</v>
      </c>
      <c r="H25" s="2">
        <v>121.2</v>
      </c>
      <c r="I25" s="2">
        <v>51.5</v>
      </c>
      <c r="J25" s="2">
        <v>-13.2</v>
      </c>
      <c r="K25" s="2">
        <v>-28.1</v>
      </c>
      <c r="L25" s="2">
        <v>-22.9</v>
      </c>
      <c r="M25" s="2">
        <v>-27.5</v>
      </c>
      <c r="O25">
        <v>1</v>
      </c>
      <c r="P25" s="1">
        <f t="shared" si="0"/>
        <v>0.86843307446322515</v>
      </c>
      <c r="Q25" s="1">
        <f t="shared" si="1"/>
        <v>0.71859296482412061</v>
      </c>
      <c r="R25" s="1">
        <f t="shared" si="2"/>
        <v>0.55367747830059388</v>
      </c>
    </row>
    <row r="26" spans="1:18" x14ac:dyDescent="0.2">
      <c r="A26">
        <v>140</v>
      </c>
      <c r="B26" s="2">
        <v>243.2</v>
      </c>
      <c r="C26" s="2">
        <v>113.9</v>
      </c>
      <c r="D26" s="2">
        <v>207.2</v>
      </c>
      <c r="E26" s="2">
        <v>99.4</v>
      </c>
      <c r="F26" s="2">
        <v>169.5</v>
      </c>
      <c r="G26" s="2">
        <v>79</v>
      </c>
      <c r="H26" s="2">
        <v>130.4</v>
      </c>
      <c r="I26" s="2">
        <v>67.8</v>
      </c>
      <c r="J26" s="2">
        <v>-14.8</v>
      </c>
      <c r="K26" s="2">
        <v>-30.3</v>
      </c>
      <c r="L26" s="2">
        <v>-23.1</v>
      </c>
      <c r="M26" s="2">
        <v>-30.6</v>
      </c>
      <c r="O26">
        <v>1</v>
      </c>
      <c r="P26" s="1">
        <f t="shared" si="0"/>
        <v>0.85197368421052633</v>
      </c>
      <c r="Q26" s="1">
        <f t="shared" si="1"/>
        <v>0.69695723684210531</v>
      </c>
      <c r="R26" s="1">
        <f t="shared" si="2"/>
        <v>0.53618421052631582</v>
      </c>
    </row>
    <row r="27" spans="1:18" x14ac:dyDescent="0.2">
      <c r="A27">
        <v>160</v>
      </c>
      <c r="B27" s="2">
        <v>270.7</v>
      </c>
      <c r="C27" s="2">
        <v>130.30000000000001</v>
      </c>
      <c r="D27" s="2">
        <v>228.8</v>
      </c>
      <c r="E27" s="2">
        <v>111.5</v>
      </c>
      <c r="F27" s="2">
        <v>181.3</v>
      </c>
      <c r="G27" s="2">
        <v>85.5</v>
      </c>
      <c r="H27" s="2">
        <v>140.19999999999999</v>
      </c>
      <c r="I27" s="2">
        <v>73</v>
      </c>
      <c r="J27" s="2">
        <v>-15.5</v>
      </c>
      <c r="K27" s="2">
        <v>-33</v>
      </c>
      <c r="L27" s="2">
        <v>-22.7</v>
      </c>
      <c r="M27" s="2">
        <v>-34.4</v>
      </c>
      <c r="O27">
        <v>1</v>
      </c>
      <c r="P27" s="1">
        <f t="shared" si="0"/>
        <v>0.84521610639083866</v>
      </c>
      <c r="Q27" s="1">
        <f t="shared" si="1"/>
        <v>0.66974510528260078</v>
      </c>
      <c r="R27" s="1">
        <f t="shared" si="2"/>
        <v>0.51791651274473582</v>
      </c>
    </row>
    <row r="28" spans="1:18" x14ac:dyDescent="0.2">
      <c r="A28">
        <v>180</v>
      </c>
      <c r="B28" s="2">
        <v>290.3</v>
      </c>
      <c r="C28" s="2">
        <v>113.8</v>
      </c>
      <c r="D28" s="2">
        <v>247.8</v>
      </c>
      <c r="E28" s="2">
        <v>99.3</v>
      </c>
      <c r="F28" s="2">
        <v>187.4</v>
      </c>
      <c r="G28" s="2">
        <v>71.7</v>
      </c>
      <c r="H28" s="2">
        <v>146.6</v>
      </c>
      <c r="I28" s="2">
        <v>61.7</v>
      </c>
      <c r="J28" s="2">
        <v>-14.6</v>
      </c>
      <c r="K28" s="2">
        <v>-35.4</v>
      </c>
      <c r="L28" s="2">
        <v>-21.8</v>
      </c>
      <c r="M28" s="2">
        <v>-37</v>
      </c>
      <c r="O28">
        <v>1</v>
      </c>
      <c r="P28" s="1">
        <f t="shared" si="0"/>
        <v>0.85359972442301069</v>
      </c>
      <c r="Q28" s="1">
        <f t="shared" si="1"/>
        <v>0.64553909748535998</v>
      </c>
      <c r="R28" s="1">
        <f t="shared" si="2"/>
        <v>0.5049948329314502</v>
      </c>
    </row>
    <row r="29" spans="1:18" x14ac:dyDescent="0.2">
      <c r="A29">
        <v>200</v>
      </c>
      <c r="B29" s="2">
        <v>308.10000000000002</v>
      </c>
      <c r="C29" s="2">
        <v>132.30000000000001</v>
      </c>
      <c r="D29" s="2">
        <v>263.89999999999998</v>
      </c>
      <c r="E29" s="2">
        <v>115.2</v>
      </c>
      <c r="F29" s="2">
        <v>194</v>
      </c>
      <c r="G29" s="2">
        <v>80.400000000000006</v>
      </c>
      <c r="H29" s="2">
        <v>155.6</v>
      </c>
      <c r="I29" s="2">
        <v>70.7</v>
      </c>
      <c r="J29" s="2">
        <v>-14.3</v>
      </c>
      <c r="K29" s="2">
        <v>-37</v>
      </c>
      <c r="L29" s="2">
        <v>-19.8</v>
      </c>
      <c r="M29" s="2">
        <v>-39.200000000000003</v>
      </c>
      <c r="O29">
        <v>1</v>
      </c>
      <c r="P29" s="1">
        <f t="shared" si="0"/>
        <v>0.85654008438818552</v>
      </c>
      <c r="Q29" s="1">
        <f t="shared" si="1"/>
        <v>0.62966569295683217</v>
      </c>
      <c r="R29" s="1">
        <f t="shared" si="2"/>
        <v>0.50503083414475813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84AA-9155-CC4E-B6E2-85DE0BB2105C}">
  <dimension ref="A1:R33"/>
  <sheetViews>
    <sheetView workbookViewId="0">
      <selection activeCell="U12" sqref="U1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54</v>
      </c>
      <c r="C2" s="2">
        <v>8.6999999999999993</v>
      </c>
      <c r="D2" s="2">
        <v>25.2</v>
      </c>
      <c r="E2" s="2">
        <v>8.6999999999999993</v>
      </c>
      <c r="F2" s="2">
        <v>59.6</v>
      </c>
      <c r="G2" s="2">
        <v>7.9</v>
      </c>
      <c r="H2" s="2">
        <v>25.7</v>
      </c>
      <c r="I2" s="2">
        <v>8</v>
      </c>
      <c r="J2" s="2">
        <v>-53.3</v>
      </c>
      <c r="K2" s="2">
        <v>10.4</v>
      </c>
      <c r="L2" s="2">
        <v>-56.9</v>
      </c>
      <c r="M2" s="2">
        <v>-9.1999999999999993</v>
      </c>
      <c r="O2">
        <v>1</v>
      </c>
      <c r="P2" s="1">
        <f t="shared" ref="P2:P29" si="0">D2/B2</f>
        <v>0.46666666666666667</v>
      </c>
      <c r="Q2" s="1">
        <f t="shared" ref="Q2:Q29" si="1">F2/B2</f>
        <v>1.1037037037037036</v>
      </c>
      <c r="R2" s="1">
        <f t="shared" ref="R2:R29" si="2">H2/B2</f>
        <v>0.47592592592592592</v>
      </c>
    </row>
    <row r="3" spans="1:18" x14ac:dyDescent="0.2">
      <c r="A3">
        <v>4</v>
      </c>
      <c r="B3" s="2">
        <v>84</v>
      </c>
      <c r="C3" s="2">
        <v>11.4</v>
      </c>
      <c r="D3" s="2">
        <v>47.3</v>
      </c>
      <c r="E3" s="2">
        <v>10.4</v>
      </c>
      <c r="F3" s="2">
        <v>106.5</v>
      </c>
      <c r="G3" s="2">
        <v>10.1</v>
      </c>
      <c r="H3" s="2">
        <v>47.2</v>
      </c>
      <c r="I3" s="2">
        <v>9.3000000000000007</v>
      </c>
      <c r="J3" s="2">
        <v>-43.7</v>
      </c>
      <c r="K3" s="2">
        <v>26.8</v>
      </c>
      <c r="L3" s="2">
        <v>-55.7</v>
      </c>
      <c r="M3" s="2">
        <v>-11.4</v>
      </c>
      <c r="O3">
        <v>1</v>
      </c>
      <c r="P3" s="1">
        <f t="shared" si="0"/>
        <v>0.56309523809523809</v>
      </c>
      <c r="Q3" s="1">
        <f t="shared" si="1"/>
        <v>1.2678571428571428</v>
      </c>
      <c r="R3" s="1">
        <f t="shared" si="2"/>
        <v>0.56190476190476191</v>
      </c>
    </row>
    <row r="4" spans="1:18" x14ac:dyDescent="0.2">
      <c r="A4">
        <v>6</v>
      </c>
      <c r="B4" s="2">
        <v>105.9</v>
      </c>
      <c r="C4" s="2">
        <v>13.8</v>
      </c>
      <c r="D4" s="2">
        <v>64.599999999999994</v>
      </c>
      <c r="E4" s="2">
        <v>12</v>
      </c>
      <c r="F4" s="2">
        <v>136</v>
      </c>
      <c r="G4" s="2">
        <v>11.8</v>
      </c>
      <c r="H4" s="2">
        <v>63.9</v>
      </c>
      <c r="I4" s="2">
        <v>10.3</v>
      </c>
      <c r="J4" s="2">
        <v>-39</v>
      </c>
      <c r="K4" s="2">
        <v>28.4</v>
      </c>
      <c r="L4" s="2">
        <v>-53</v>
      </c>
      <c r="M4" s="2">
        <v>-14.5</v>
      </c>
      <c r="O4">
        <v>1</v>
      </c>
      <c r="P4" s="1">
        <f t="shared" si="0"/>
        <v>0.61000944287063263</v>
      </c>
      <c r="Q4" s="1">
        <f t="shared" si="1"/>
        <v>1.2842304060434371</v>
      </c>
      <c r="R4" s="1">
        <f t="shared" si="2"/>
        <v>0.60339943342776203</v>
      </c>
    </row>
    <row r="5" spans="1:18" x14ac:dyDescent="0.2">
      <c r="A5">
        <v>8</v>
      </c>
      <c r="B5" s="2">
        <v>127.3</v>
      </c>
      <c r="C5" s="2">
        <v>16.2</v>
      </c>
      <c r="D5" s="2">
        <v>82.9</v>
      </c>
      <c r="E5" s="2">
        <v>13.1</v>
      </c>
      <c r="F5" s="2">
        <v>162.5</v>
      </c>
      <c r="G5" s="2">
        <v>13.5</v>
      </c>
      <c r="H5" s="2">
        <v>82.6</v>
      </c>
      <c r="I5" s="2">
        <v>11.4</v>
      </c>
      <c r="J5" s="2">
        <v>-34.9</v>
      </c>
      <c r="K5" s="2">
        <v>27.7</v>
      </c>
      <c r="L5" s="2">
        <v>-49.2</v>
      </c>
      <c r="M5" s="2">
        <v>-16.7</v>
      </c>
      <c r="O5">
        <v>1</v>
      </c>
      <c r="P5" s="1">
        <f t="shared" si="0"/>
        <v>0.65121759622937947</v>
      </c>
      <c r="Q5" s="1">
        <f t="shared" si="1"/>
        <v>1.2765121759622937</v>
      </c>
      <c r="R5" s="1">
        <f t="shared" si="2"/>
        <v>0.64886095836606439</v>
      </c>
    </row>
    <row r="6" spans="1:18" x14ac:dyDescent="0.2">
      <c r="A6">
        <v>10</v>
      </c>
      <c r="B6" s="2">
        <v>148.80000000000001</v>
      </c>
      <c r="C6" s="2">
        <v>18.7</v>
      </c>
      <c r="D6" s="2">
        <v>98.1</v>
      </c>
      <c r="E6" s="2">
        <v>14.8</v>
      </c>
      <c r="F6" s="2">
        <v>181.4</v>
      </c>
      <c r="G6" s="2">
        <v>15.2</v>
      </c>
      <c r="H6" s="2">
        <v>95</v>
      </c>
      <c r="I6" s="2">
        <v>13</v>
      </c>
      <c r="J6" s="2">
        <v>-34.1</v>
      </c>
      <c r="K6" s="2">
        <v>21.9</v>
      </c>
      <c r="L6" s="2">
        <v>-47.6</v>
      </c>
      <c r="M6" s="2">
        <v>-18.7</v>
      </c>
      <c r="O6">
        <v>1</v>
      </c>
      <c r="P6" s="1">
        <f t="shared" si="0"/>
        <v>0.65927419354838701</v>
      </c>
      <c r="Q6" s="1">
        <f t="shared" si="1"/>
        <v>1.2190860215053763</v>
      </c>
      <c r="R6" s="1">
        <f t="shared" si="2"/>
        <v>0.63844086021505375</v>
      </c>
    </row>
    <row r="7" spans="1:18" x14ac:dyDescent="0.2">
      <c r="A7">
        <v>12</v>
      </c>
      <c r="B7" s="2">
        <v>162</v>
      </c>
      <c r="C7" s="2">
        <v>20.7</v>
      </c>
      <c r="D7" s="2">
        <v>109.8</v>
      </c>
      <c r="E7" s="2">
        <v>16.3</v>
      </c>
      <c r="F7" s="2">
        <v>197.1</v>
      </c>
      <c r="G7" s="2">
        <v>16.7</v>
      </c>
      <c r="H7" s="2">
        <v>104.7</v>
      </c>
      <c r="I7" s="2">
        <v>13.9</v>
      </c>
      <c r="J7" s="2">
        <v>-32.200000000000003</v>
      </c>
      <c r="K7" s="2">
        <v>21.7</v>
      </c>
      <c r="L7" s="2">
        <v>-46.9</v>
      </c>
      <c r="M7" s="2">
        <v>-19.3</v>
      </c>
      <c r="O7">
        <v>1</v>
      </c>
      <c r="P7" s="1">
        <f t="shared" si="0"/>
        <v>0.67777777777777781</v>
      </c>
      <c r="Q7" s="1">
        <f t="shared" si="1"/>
        <v>1.2166666666666666</v>
      </c>
      <c r="R7" s="1">
        <f t="shared" si="2"/>
        <v>0.64629629629629637</v>
      </c>
    </row>
    <row r="8" spans="1:18" x14ac:dyDescent="0.2">
      <c r="A8">
        <v>14</v>
      </c>
      <c r="B8" s="2">
        <v>178.9</v>
      </c>
      <c r="C8" s="2">
        <v>23.3</v>
      </c>
      <c r="D8" s="2">
        <v>119.9</v>
      </c>
      <c r="E8" s="2">
        <v>17.7</v>
      </c>
      <c r="F8" s="2">
        <v>217.7</v>
      </c>
      <c r="G8" s="2">
        <v>19</v>
      </c>
      <c r="H8" s="2">
        <v>114.7</v>
      </c>
      <c r="I8" s="2">
        <v>15.2</v>
      </c>
      <c r="J8" s="2">
        <v>-33</v>
      </c>
      <c r="K8" s="2">
        <v>21.7</v>
      </c>
      <c r="L8" s="2">
        <v>-47.3</v>
      </c>
      <c r="M8" s="2">
        <v>-18.5</v>
      </c>
      <c r="O8">
        <v>1</v>
      </c>
      <c r="P8" s="1">
        <f t="shared" si="0"/>
        <v>0.67020681945220795</v>
      </c>
      <c r="Q8" s="1">
        <f t="shared" si="1"/>
        <v>1.2168809390721071</v>
      </c>
      <c r="R8" s="1">
        <f t="shared" si="2"/>
        <v>0.64114030184460591</v>
      </c>
    </row>
    <row r="9" spans="1:18" x14ac:dyDescent="0.2">
      <c r="A9">
        <v>16</v>
      </c>
      <c r="B9" s="2">
        <v>193.6</v>
      </c>
      <c r="C9" s="2">
        <v>25.5</v>
      </c>
      <c r="D9" s="2">
        <v>132.9</v>
      </c>
      <c r="E9" s="2">
        <v>19.399999999999999</v>
      </c>
      <c r="F9" s="2">
        <v>234.9</v>
      </c>
      <c r="G9" s="2">
        <v>21</v>
      </c>
      <c r="H9" s="2">
        <v>126.9</v>
      </c>
      <c r="I9" s="2">
        <v>16.100000000000001</v>
      </c>
      <c r="J9" s="2">
        <v>-31.4</v>
      </c>
      <c r="K9" s="2">
        <v>21.3</v>
      </c>
      <c r="L9" s="2">
        <v>-46</v>
      </c>
      <c r="M9" s="2">
        <v>-17.600000000000001</v>
      </c>
      <c r="O9">
        <v>1</v>
      </c>
      <c r="P9" s="1">
        <f t="shared" si="0"/>
        <v>0.68646694214876036</v>
      </c>
      <c r="Q9" s="1">
        <f t="shared" si="1"/>
        <v>1.2133264462809918</v>
      </c>
      <c r="R9" s="1">
        <f t="shared" si="2"/>
        <v>0.65547520661157033</v>
      </c>
    </row>
    <row r="10" spans="1:18" x14ac:dyDescent="0.2">
      <c r="A10">
        <v>18</v>
      </c>
      <c r="B10" s="2">
        <v>207.2</v>
      </c>
      <c r="C10" s="2">
        <v>28.2</v>
      </c>
      <c r="D10" s="2">
        <v>144.4</v>
      </c>
      <c r="E10" s="2">
        <v>21.6</v>
      </c>
      <c r="F10" s="2">
        <v>253.6</v>
      </c>
      <c r="G10" s="2">
        <v>22.2</v>
      </c>
      <c r="H10" s="2">
        <v>131.9</v>
      </c>
      <c r="I10" s="2">
        <v>17.399999999999999</v>
      </c>
      <c r="J10" s="2">
        <v>-30.3</v>
      </c>
      <c r="K10" s="2">
        <v>22.4</v>
      </c>
      <c r="L10" s="2">
        <v>-48</v>
      </c>
      <c r="M10" s="2">
        <v>-21.3</v>
      </c>
      <c r="O10">
        <v>1</v>
      </c>
      <c r="P10" s="1">
        <f t="shared" si="0"/>
        <v>0.69691119691119696</v>
      </c>
      <c r="Q10" s="1">
        <f t="shared" si="1"/>
        <v>1.2239382239382239</v>
      </c>
      <c r="R10" s="1">
        <f t="shared" si="2"/>
        <v>0.63658301158301167</v>
      </c>
    </row>
    <row r="11" spans="1:18" x14ac:dyDescent="0.2">
      <c r="A11">
        <v>20</v>
      </c>
      <c r="B11" s="2">
        <v>219.6</v>
      </c>
      <c r="C11" s="2">
        <v>30.9</v>
      </c>
      <c r="D11" s="2">
        <v>155.80000000000001</v>
      </c>
      <c r="E11" s="2">
        <v>23.4</v>
      </c>
      <c r="F11" s="2">
        <v>273.5</v>
      </c>
      <c r="G11" s="2">
        <v>24.3</v>
      </c>
      <c r="H11" s="2">
        <v>145.69999999999999</v>
      </c>
      <c r="I11" s="2">
        <v>19.399999999999999</v>
      </c>
      <c r="J11" s="2">
        <v>-29.1</v>
      </c>
      <c r="K11" s="2">
        <v>24.5</v>
      </c>
      <c r="L11" s="2">
        <v>-46.7</v>
      </c>
      <c r="M11" s="2">
        <v>-21.4</v>
      </c>
      <c r="O11">
        <v>1</v>
      </c>
      <c r="P11" s="1">
        <f t="shared" si="0"/>
        <v>0.70947176684881608</v>
      </c>
      <c r="Q11" s="1">
        <f t="shared" si="1"/>
        <v>1.2454462659380692</v>
      </c>
      <c r="R11" s="1">
        <f t="shared" si="2"/>
        <v>0.6634790528233151</v>
      </c>
    </row>
    <row r="12" spans="1:18" x14ac:dyDescent="0.2">
      <c r="A12">
        <v>22</v>
      </c>
      <c r="B12" s="2">
        <v>231.9</v>
      </c>
      <c r="C12" s="2">
        <v>32.9</v>
      </c>
      <c r="D12" s="2">
        <v>166.4</v>
      </c>
      <c r="E12" s="2">
        <v>25.2</v>
      </c>
      <c r="F12" s="2">
        <v>283.5</v>
      </c>
      <c r="G12" s="2">
        <v>26.6</v>
      </c>
      <c r="H12" s="2">
        <v>151.4</v>
      </c>
      <c r="I12" s="2">
        <v>20.3</v>
      </c>
      <c r="J12" s="2">
        <v>-28.2</v>
      </c>
      <c r="K12" s="2">
        <v>22.3</v>
      </c>
      <c r="L12" s="2">
        <v>-46.6</v>
      </c>
      <c r="M12" s="2">
        <v>-19.100000000000001</v>
      </c>
      <c r="O12">
        <v>1</v>
      </c>
      <c r="P12" s="1">
        <f t="shared" si="0"/>
        <v>0.71755066839154813</v>
      </c>
      <c r="Q12" s="1">
        <f t="shared" si="1"/>
        <v>1.2225097024579561</v>
      </c>
      <c r="R12" s="1">
        <f t="shared" si="2"/>
        <v>0.65286761535144455</v>
      </c>
    </row>
    <row r="13" spans="1:18" x14ac:dyDescent="0.2">
      <c r="A13">
        <v>24</v>
      </c>
      <c r="B13" s="2">
        <v>249.3</v>
      </c>
      <c r="C13" s="2">
        <v>36.6</v>
      </c>
      <c r="D13" s="2">
        <v>176.7</v>
      </c>
      <c r="E13" s="2">
        <v>28.3</v>
      </c>
      <c r="F13" s="2">
        <v>290.39999999999998</v>
      </c>
      <c r="G13" s="2">
        <v>28.2</v>
      </c>
      <c r="H13" s="2">
        <v>161.1</v>
      </c>
      <c r="I13" s="2">
        <v>22</v>
      </c>
      <c r="J13" s="2">
        <v>-29.1</v>
      </c>
      <c r="K13" s="2">
        <v>16.5</v>
      </c>
      <c r="L13" s="2">
        <v>-44.5</v>
      </c>
      <c r="M13" s="2">
        <v>-23</v>
      </c>
      <c r="O13">
        <v>1</v>
      </c>
      <c r="P13" s="1">
        <f t="shared" si="0"/>
        <v>0.7087845968712394</v>
      </c>
      <c r="Q13" s="1">
        <f t="shared" si="1"/>
        <v>1.1648616125150419</v>
      </c>
      <c r="R13" s="1">
        <f t="shared" si="2"/>
        <v>0.64620938628158842</v>
      </c>
    </row>
    <row r="14" spans="1:18" x14ac:dyDescent="0.2">
      <c r="A14">
        <v>26</v>
      </c>
      <c r="B14" s="2">
        <v>260.60000000000002</v>
      </c>
      <c r="C14" s="2">
        <v>39.5</v>
      </c>
      <c r="D14" s="2">
        <v>186.2</v>
      </c>
      <c r="E14" s="2">
        <v>29.7</v>
      </c>
      <c r="F14" s="2">
        <v>310.2</v>
      </c>
      <c r="G14" s="2">
        <v>30.6</v>
      </c>
      <c r="H14" s="2">
        <v>167.3</v>
      </c>
      <c r="I14" s="2">
        <v>23.1</v>
      </c>
      <c r="J14" s="2">
        <v>-28.5</v>
      </c>
      <c r="K14" s="2">
        <v>19</v>
      </c>
      <c r="L14" s="2">
        <v>-46.1</v>
      </c>
      <c r="M14" s="2">
        <v>-22.5</v>
      </c>
      <c r="O14">
        <v>1</v>
      </c>
      <c r="P14" s="1">
        <f t="shared" si="0"/>
        <v>0.71450498848810429</v>
      </c>
      <c r="Q14" s="1">
        <f t="shared" si="1"/>
        <v>1.1903300076745968</v>
      </c>
      <c r="R14" s="1">
        <f t="shared" si="2"/>
        <v>0.64198004604758252</v>
      </c>
    </row>
    <row r="15" spans="1:18" x14ac:dyDescent="0.2">
      <c r="A15">
        <v>28</v>
      </c>
      <c r="B15" s="2">
        <v>272.39999999999998</v>
      </c>
      <c r="C15" s="2">
        <v>42.1</v>
      </c>
      <c r="D15" s="2">
        <v>194.8</v>
      </c>
      <c r="E15" s="2">
        <v>32</v>
      </c>
      <c r="F15" s="2">
        <v>314.60000000000002</v>
      </c>
      <c r="G15" s="2">
        <v>33</v>
      </c>
      <c r="H15" s="2">
        <v>175.7</v>
      </c>
      <c r="I15" s="2">
        <v>25</v>
      </c>
      <c r="J15" s="2">
        <v>-28.5</v>
      </c>
      <c r="K15" s="2">
        <v>15.5</v>
      </c>
      <c r="L15" s="2">
        <v>-44.2</v>
      </c>
      <c r="M15" s="2">
        <v>-21.6</v>
      </c>
      <c r="O15">
        <v>1</v>
      </c>
      <c r="P15" s="1">
        <f t="shared" si="0"/>
        <v>0.71512481644640247</v>
      </c>
      <c r="Q15" s="1">
        <f t="shared" si="1"/>
        <v>1.154919236417034</v>
      </c>
      <c r="R15" s="1">
        <f t="shared" si="2"/>
        <v>0.64500734214390598</v>
      </c>
    </row>
    <row r="16" spans="1:18" x14ac:dyDescent="0.2">
      <c r="A16">
        <v>30</v>
      </c>
      <c r="B16" s="2">
        <v>287.89999999999998</v>
      </c>
      <c r="C16" s="2">
        <v>45.7</v>
      </c>
      <c r="D16" s="2">
        <v>205.5</v>
      </c>
      <c r="E16" s="2">
        <v>34.9</v>
      </c>
      <c r="F16" s="2">
        <v>325.3</v>
      </c>
      <c r="G16" s="2">
        <v>35</v>
      </c>
      <c r="H16" s="2">
        <v>181.8</v>
      </c>
      <c r="I16" s="2">
        <v>26.5</v>
      </c>
      <c r="J16" s="2">
        <v>-28.6</v>
      </c>
      <c r="K16" s="2">
        <v>13</v>
      </c>
      <c r="L16" s="2">
        <v>-44.1</v>
      </c>
      <c r="M16" s="2">
        <v>-23.4</v>
      </c>
      <c r="O16">
        <v>1</v>
      </c>
      <c r="P16" s="1">
        <f t="shared" si="0"/>
        <v>0.71378951024661341</v>
      </c>
      <c r="Q16" s="1">
        <f t="shared" si="1"/>
        <v>1.1299062174366101</v>
      </c>
      <c r="R16" s="1">
        <f t="shared" si="2"/>
        <v>0.63146926015977778</v>
      </c>
    </row>
    <row r="17" spans="1:18" x14ac:dyDescent="0.2">
      <c r="A17">
        <v>32</v>
      </c>
      <c r="B17" s="2">
        <v>296.8</v>
      </c>
      <c r="C17" s="2">
        <v>48.3</v>
      </c>
      <c r="D17" s="2">
        <v>215.3</v>
      </c>
      <c r="E17" s="2">
        <v>37</v>
      </c>
      <c r="F17" s="2">
        <v>338.4</v>
      </c>
      <c r="G17" s="2">
        <v>36.5</v>
      </c>
      <c r="H17" s="2">
        <v>189.8</v>
      </c>
      <c r="I17" s="2">
        <v>27.9</v>
      </c>
      <c r="J17" s="2">
        <v>-27.5</v>
      </c>
      <c r="K17" s="2">
        <v>14</v>
      </c>
      <c r="L17" s="2">
        <v>-43.9</v>
      </c>
      <c r="M17" s="2">
        <v>-24.4</v>
      </c>
      <c r="O17">
        <v>1</v>
      </c>
      <c r="P17" s="1">
        <f t="shared" si="0"/>
        <v>0.72540431266846361</v>
      </c>
      <c r="Q17" s="1">
        <f t="shared" si="1"/>
        <v>1.1401617250673852</v>
      </c>
      <c r="R17" s="1">
        <f t="shared" si="2"/>
        <v>0.63948787061994605</v>
      </c>
    </row>
    <row r="18" spans="1:18" x14ac:dyDescent="0.2">
      <c r="A18">
        <v>34</v>
      </c>
      <c r="B18" s="2">
        <v>308</v>
      </c>
      <c r="C18" s="2">
        <v>51.6</v>
      </c>
      <c r="D18" s="2">
        <v>225.9</v>
      </c>
      <c r="E18" s="2">
        <v>39.9</v>
      </c>
      <c r="F18" s="2">
        <v>348.3</v>
      </c>
      <c r="G18" s="2">
        <v>39.5</v>
      </c>
      <c r="H18" s="2">
        <v>196.7</v>
      </c>
      <c r="I18" s="2">
        <v>29.8</v>
      </c>
      <c r="J18" s="2">
        <v>-26.7</v>
      </c>
      <c r="K18" s="2">
        <v>13.1</v>
      </c>
      <c r="L18" s="2">
        <v>-43.5</v>
      </c>
      <c r="M18" s="2">
        <v>-23.4</v>
      </c>
      <c r="O18">
        <v>1</v>
      </c>
      <c r="P18" s="1">
        <f t="shared" si="0"/>
        <v>0.73344155844155845</v>
      </c>
      <c r="Q18" s="1">
        <f t="shared" si="1"/>
        <v>1.130844155844156</v>
      </c>
      <c r="R18" s="1">
        <f t="shared" si="2"/>
        <v>0.63863636363636356</v>
      </c>
    </row>
    <row r="19" spans="1:18" x14ac:dyDescent="0.2">
      <c r="A19">
        <v>36</v>
      </c>
      <c r="B19" s="2">
        <v>323.8</v>
      </c>
      <c r="C19" s="2">
        <v>56.3</v>
      </c>
      <c r="D19" s="2">
        <v>236.3</v>
      </c>
      <c r="E19" s="2">
        <v>43.5</v>
      </c>
      <c r="F19" s="2">
        <v>360.2</v>
      </c>
      <c r="G19" s="2">
        <v>41.9</v>
      </c>
      <c r="H19" s="2">
        <v>203.7</v>
      </c>
      <c r="I19" s="2">
        <v>32.200000000000003</v>
      </c>
      <c r="J19" s="2">
        <v>-27</v>
      </c>
      <c r="K19" s="2">
        <v>11.2</v>
      </c>
      <c r="L19" s="2">
        <v>-43.4</v>
      </c>
      <c r="M19" s="2">
        <v>-25.6</v>
      </c>
      <c r="O19">
        <v>1</v>
      </c>
      <c r="P19" s="1">
        <f t="shared" si="0"/>
        <v>0.72977146386658431</v>
      </c>
      <c r="Q19" s="1">
        <f t="shared" si="1"/>
        <v>1.1124150710315008</v>
      </c>
      <c r="R19" s="1">
        <f t="shared" si="2"/>
        <v>0.62909203211859166</v>
      </c>
    </row>
    <row r="20" spans="1:18" x14ac:dyDescent="0.2">
      <c r="A20">
        <v>38</v>
      </c>
      <c r="B20" s="2">
        <v>338.4</v>
      </c>
      <c r="C20" s="2">
        <v>59.6</v>
      </c>
      <c r="D20" s="2">
        <v>244.3</v>
      </c>
      <c r="E20" s="2">
        <v>45.7</v>
      </c>
      <c r="F20" s="2">
        <v>367.5</v>
      </c>
      <c r="G20" s="2">
        <v>44.8</v>
      </c>
      <c r="H20" s="2">
        <v>207.5</v>
      </c>
      <c r="I20" s="2">
        <v>33.200000000000003</v>
      </c>
      <c r="J20" s="2">
        <v>-27.8</v>
      </c>
      <c r="K20" s="2">
        <v>8.6</v>
      </c>
      <c r="L20" s="2">
        <v>-43.5</v>
      </c>
      <c r="M20" s="2">
        <v>-24.8</v>
      </c>
      <c r="O20">
        <v>1</v>
      </c>
      <c r="P20" s="1">
        <f t="shared" si="0"/>
        <v>0.72192671394799057</v>
      </c>
      <c r="Q20" s="1">
        <f t="shared" si="1"/>
        <v>1.0859929078014185</v>
      </c>
      <c r="R20" s="1">
        <f t="shared" si="2"/>
        <v>0.61317966903073295</v>
      </c>
    </row>
    <row r="21" spans="1:18" x14ac:dyDescent="0.2">
      <c r="A21">
        <v>40</v>
      </c>
      <c r="B21" s="2">
        <v>342.9</v>
      </c>
      <c r="C21" s="2">
        <v>63</v>
      </c>
      <c r="D21" s="2">
        <v>252.8</v>
      </c>
      <c r="E21" s="2">
        <v>48.5</v>
      </c>
      <c r="F21" s="2">
        <v>382.3</v>
      </c>
      <c r="G21" s="2">
        <v>47</v>
      </c>
      <c r="H21" s="2">
        <v>213.7</v>
      </c>
      <c r="I21" s="2">
        <v>34.6</v>
      </c>
      <c r="J21" s="2">
        <v>-26.3</v>
      </c>
      <c r="K21" s="2">
        <v>11.5</v>
      </c>
      <c r="L21" s="2">
        <v>-44.1</v>
      </c>
      <c r="M21" s="2">
        <v>-25.4</v>
      </c>
      <c r="O21">
        <v>1</v>
      </c>
      <c r="P21" s="1">
        <f t="shared" si="0"/>
        <v>0.73724117818606016</v>
      </c>
      <c r="Q21" s="1">
        <f t="shared" si="1"/>
        <v>1.1149023038786818</v>
      </c>
      <c r="R21" s="1">
        <f t="shared" si="2"/>
        <v>0.62321376494604841</v>
      </c>
    </row>
    <row r="22" spans="1:18" x14ac:dyDescent="0.2">
      <c r="A22">
        <v>60</v>
      </c>
      <c r="B22" s="2">
        <v>457.9</v>
      </c>
      <c r="C22" s="2">
        <v>106.1</v>
      </c>
      <c r="D22" s="2">
        <v>344</v>
      </c>
      <c r="E22" s="2">
        <v>84.3</v>
      </c>
      <c r="F22" s="2">
        <v>468</v>
      </c>
      <c r="G22" s="2">
        <v>75.8</v>
      </c>
      <c r="H22" s="2">
        <v>276.8</v>
      </c>
      <c r="I22" s="2">
        <v>55.9</v>
      </c>
      <c r="J22" s="2">
        <v>-24.9</v>
      </c>
      <c r="K22" s="2">
        <v>2.2000000000000002</v>
      </c>
      <c r="L22" s="2">
        <v>-40.9</v>
      </c>
      <c r="M22" s="2">
        <v>-28.6</v>
      </c>
      <c r="O22">
        <v>1</v>
      </c>
      <c r="P22" s="1">
        <f t="shared" si="0"/>
        <v>0.75125573269272772</v>
      </c>
      <c r="Q22" s="1">
        <f t="shared" si="1"/>
        <v>1.0220572177331295</v>
      </c>
      <c r="R22" s="1">
        <f t="shared" si="2"/>
        <v>0.60449879886438096</v>
      </c>
    </row>
    <row r="23" spans="1:18" x14ac:dyDescent="0.2">
      <c r="A23">
        <v>80</v>
      </c>
      <c r="B23" s="2">
        <v>569</v>
      </c>
      <c r="C23" s="2">
        <v>165.7</v>
      </c>
      <c r="D23" s="2">
        <v>436.3</v>
      </c>
      <c r="E23" s="2">
        <v>133.19999999999999</v>
      </c>
      <c r="F23" s="2">
        <v>551.79999999999995</v>
      </c>
      <c r="G23" s="2">
        <v>111.7</v>
      </c>
      <c r="H23" s="2">
        <v>331.8</v>
      </c>
      <c r="I23" s="2">
        <v>81.900000000000006</v>
      </c>
      <c r="J23" s="2">
        <v>-23.3</v>
      </c>
      <c r="K23" s="2">
        <v>-3</v>
      </c>
      <c r="L23" s="2">
        <v>-39.9</v>
      </c>
      <c r="M23" s="2">
        <v>-32.6</v>
      </c>
      <c r="O23">
        <v>1</v>
      </c>
      <c r="P23" s="1">
        <f t="shared" si="0"/>
        <v>0.76678383128295258</v>
      </c>
      <c r="Q23" s="1">
        <f t="shared" si="1"/>
        <v>0.96977152899824248</v>
      </c>
      <c r="R23" s="1">
        <f t="shared" si="2"/>
        <v>0.58312829525483301</v>
      </c>
    </row>
    <row r="24" spans="1:18" x14ac:dyDescent="0.2">
      <c r="A24">
        <v>100</v>
      </c>
      <c r="B24" s="2">
        <v>672.9</v>
      </c>
      <c r="C24" s="2">
        <v>234.8</v>
      </c>
      <c r="D24" s="2">
        <v>518.5</v>
      </c>
      <c r="E24" s="2">
        <v>191</v>
      </c>
      <c r="F24" s="2">
        <v>633.29999999999995</v>
      </c>
      <c r="G24" s="2">
        <v>155.5</v>
      </c>
      <c r="H24" s="2">
        <v>386.5</v>
      </c>
      <c r="I24" s="2">
        <v>112.7</v>
      </c>
      <c r="J24" s="2">
        <v>-22.9</v>
      </c>
      <c r="K24" s="2">
        <v>-5.9</v>
      </c>
      <c r="L24" s="2">
        <v>-39</v>
      </c>
      <c r="M24" s="2">
        <v>-33.799999999999997</v>
      </c>
      <c r="O24">
        <v>1</v>
      </c>
      <c r="P24" s="1">
        <f t="shared" si="0"/>
        <v>0.77054540050527565</v>
      </c>
      <c r="Q24" s="1">
        <f t="shared" si="1"/>
        <v>0.94115024520731161</v>
      </c>
      <c r="R24" s="1">
        <f t="shared" si="2"/>
        <v>0.57437955119631445</v>
      </c>
    </row>
    <row r="25" spans="1:18" x14ac:dyDescent="0.2">
      <c r="A25">
        <v>120</v>
      </c>
      <c r="B25" s="2">
        <v>775.3</v>
      </c>
      <c r="C25" s="2">
        <v>314</v>
      </c>
      <c r="D25" s="2">
        <v>605.9</v>
      </c>
      <c r="E25" s="2">
        <v>261.3</v>
      </c>
      <c r="F25" s="2">
        <v>705.6</v>
      </c>
      <c r="G25" s="2">
        <v>203.1</v>
      </c>
      <c r="H25" s="2">
        <v>436.7</v>
      </c>
      <c r="I25" s="2">
        <v>148.4</v>
      </c>
      <c r="J25" s="2">
        <v>-21.8</v>
      </c>
      <c r="K25" s="2">
        <v>-9</v>
      </c>
      <c r="L25" s="2">
        <v>-38.1</v>
      </c>
      <c r="M25" s="2">
        <v>-35.299999999999997</v>
      </c>
      <c r="O25">
        <v>1</v>
      </c>
      <c r="P25" s="1">
        <f t="shared" si="0"/>
        <v>0.78150393396104734</v>
      </c>
      <c r="Q25" s="1">
        <f t="shared" si="1"/>
        <v>0.91009931639365416</v>
      </c>
      <c r="R25" s="1">
        <f t="shared" si="2"/>
        <v>0.56326583258093643</v>
      </c>
    </row>
    <row r="26" spans="1:18" x14ac:dyDescent="0.2">
      <c r="A26">
        <v>140</v>
      </c>
      <c r="B26" s="2">
        <v>875.1</v>
      </c>
      <c r="C26" s="2">
        <v>420.6</v>
      </c>
      <c r="D26" s="2">
        <v>682.7</v>
      </c>
      <c r="E26" s="2">
        <v>345.3</v>
      </c>
      <c r="F26" s="2">
        <v>789.1</v>
      </c>
      <c r="G26" s="2">
        <v>270.5</v>
      </c>
      <c r="H26" s="2">
        <v>485.5</v>
      </c>
      <c r="I26" s="2">
        <v>189.1</v>
      </c>
      <c r="J26" s="2">
        <v>-22</v>
      </c>
      <c r="K26" s="2">
        <v>-9.8000000000000007</v>
      </c>
      <c r="L26" s="2">
        <v>-38.5</v>
      </c>
      <c r="M26" s="2">
        <v>-35.700000000000003</v>
      </c>
      <c r="O26">
        <v>1</v>
      </c>
      <c r="P26" s="1">
        <f t="shared" si="0"/>
        <v>0.78013941263855557</v>
      </c>
      <c r="Q26" s="1">
        <f t="shared" si="1"/>
        <v>0.90172551708376181</v>
      </c>
      <c r="R26" s="1">
        <f t="shared" si="2"/>
        <v>0.55479373785853048</v>
      </c>
    </row>
    <row r="27" spans="1:18" x14ac:dyDescent="0.2">
      <c r="A27">
        <v>160</v>
      </c>
      <c r="B27" s="2">
        <v>967.5</v>
      </c>
      <c r="C27" s="2">
        <v>515.9</v>
      </c>
      <c r="D27" s="2">
        <v>764</v>
      </c>
      <c r="E27" s="2">
        <v>434.2</v>
      </c>
      <c r="F27" s="2">
        <v>832.9</v>
      </c>
      <c r="G27" s="2">
        <v>318.39999999999998</v>
      </c>
      <c r="H27" s="2">
        <v>529.79999999999995</v>
      </c>
      <c r="I27" s="2">
        <v>231.6</v>
      </c>
      <c r="J27" s="2">
        <v>-21</v>
      </c>
      <c r="K27" s="2">
        <v>-13.9</v>
      </c>
      <c r="L27" s="2">
        <v>-36.4</v>
      </c>
      <c r="M27" s="2">
        <v>-38.299999999999997</v>
      </c>
      <c r="O27">
        <v>1</v>
      </c>
      <c r="P27" s="1">
        <f t="shared" si="0"/>
        <v>0.78966408268733845</v>
      </c>
      <c r="Q27" s="1">
        <f t="shared" si="1"/>
        <v>0.86087855297157623</v>
      </c>
      <c r="R27" s="1">
        <f t="shared" si="2"/>
        <v>0.54759689922480614</v>
      </c>
    </row>
    <row r="28" spans="1:18" x14ac:dyDescent="0.2">
      <c r="A28">
        <v>180</v>
      </c>
      <c r="B28" s="2">
        <v>1070</v>
      </c>
      <c r="C28" s="2">
        <v>634.6</v>
      </c>
      <c r="D28" s="2">
        <v>845.8</v>
      </c>
      <c r="E28" s="2">
        <v>535.9</v>
      </c>
      <c r="F28" s="2">
        <v>878</v>
      </c>
      <c r="G28" s="2">
        <v>377</v>
      </c>
      <c r="H28" s="2">
        <v>579.79999999999995</v>
      </c>
      <c r="I28" s="2">
        <v>279.8</v>
      </c>
      <c r="J28" s="2">
        <v>-21</v>
      </c>
      <c r="K28" s="2">
        <v>-17.899999999999999</v>
      </c>
      <c r="L28" s="2">
        <v>-34</v>
      </c>
      <c r="M28" s="2">
        <v>-40.6</v>
      </c>
      <c r="O28">
        <v>1</v>
      </c>
      <c r="P28" s="1">
        <f t="shared" si="0"/>
        <v>0.7904672897196261</v>
      </c>
      <c r="Q28" s="1">
        <f t="shared" si="1"/>
        <v>0.82056074766355136</v>
      </c>
      <c r="R28" s="1">
        <f t="shared" si="2"/>
        <v>0.54186915887850462</v>
      </c>
    </row>
    <row r="29" spans="1:18" x14ac:dyDescent="0.2">
      <c r="A29">
        <v>200</v>
      </c>
      <c r="B29" s="2">
        <v>1165.8</v>
      </c>
      <c r="C29" s="2">
        <v>772.7</v>
      </c>
      <c r="D29" s="2">
        <v>925.4</v>
      </c>
      <c r="E29" s="2">
        <v>652</v>
      </c>
      <c r="F29" s="2">
        <v>925.1</v>
      </c>
      <c r="G29" s="2">
        <v>438.6</v>
      </c>
      <c r="H29" s="2">
        <v>622.5</v>
      </c>
      <c r="I29" s="2">
        <v>331</v>
      </c>
      <c r="J29" s="2">
        <v>-20.6</v>
      </c>
      <c r="K29" s="2">
        <v>-20.6</v>
      </c>
      <c r="L29" s="2">
        <v>-32.700000000000003</v>
      </c>
      <c r="M29" s="2">
        <v>-43.2</v>
      </c>
      <c r="O29">
        <v>1</v>
      </c>
      <c r="P29" s="1">
        <f t="shared" si="0"/>
        <v>0.79378967232801512</v>
      </c>
      <c r="Q29" s="1">
        <f t="shared" si="1"/>
        <v>0.79353233830845771</v>
      </c>
      <c r="R29" s="1">
        <f t="shared" si="2"/>
        <v>0.53396809058157491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AD51-AFD4-3D42-B2DF-F813173CA207}">
  <dimension ref="A1:R33"/>
  <sheetViews>
    <sheetView workbookViewId="0">
      <selection activeCell="K32" sqref="K32"/>
    </sheetView>
  </sheetViews>
  <sheetFormatPr baseColWidth="10" defaultRowHeight="16" x14ac:dyDescent="0.2"/>
  <sheetData>
    <row r="1" spans="1:18" x14ac:dyDescent="0.2">
      <c r="A1" t="s">
        <v>0</v>
      </c>
      <c r="B1" t="s">
        <v>1</v>
      </c>
      <c r="C1" t="s">
        <v>10</v>
      </c>
      <c r="D1" t="s">
        <v>2</v>
      </c>
      <c r="E1" t="s">
        <v>11</v>
      </c>
      <c r="F1" t="s">
        <v>3</v>
      </c>
      <c r="G1" t="s">
        <v>12</v>
      </c>
      <c r="H1" t="s">
        <v>4</v>
      </c>
      <c r="I1" t="s">
        <v>13</v>
      </c>
      <c r="J1" t="s">
        <v>5</v>
      </c>
      <c r="K1" t="s">
        <v>6</v>
      </c>
      <c r="L1" t="s">
        <v>7</v>
      </c>
      <c r="M1" t="s">
        <v>14</v>
      </c>
      <c r="O1" t="s">
        <v>9</v>
      </c>
      <c r="P1" t="s">
        <v>2</v>
      </c>
      <c r="Q1" t="s">
        <v>8</v>
      </c>
      <c r="R1" t="s">
        <v>4</v>
      </c>
    </row>
    <row r="2" spans="1:18" x14ac:dyDescent="0.2">
      <c r="A2">
        <v>2</v>
      </c>
      <c r="B2" s="2">
        <v>62.4</v>
      </c>
      <c r="C2" s="2">
        <v>10</v>
      </c>
      <c r="D2" s="2">
        <v>34</v>
      </c>
      <c r="E2" s="2">
        <v>10</v>
      </c>
      <c r="F2" s="2">
        <v>68.5</v>
      </c>
      <c r="G2" s="2">
        <v>9</v>
      </c>
      <c r="H2" s="2">
        <v>33.700000000000003</v>
      </c>
      <c r="I2" s="2">
        <v>9</v>
      </c>
      <c r="J2" s="2">
        <v>-45.5</v>
      </c>
      <c r="K2" s="2">
        <v>9.8000000000000007</v>
      </c>
      <c r="L2" s="2">
        <v>-50.8</v>
      </c>
      <c r="M2" s="2">
        <v>-10</v>
      </c>
      <c r="N2" s="2"/>
      <c r="O2">
        <v>1</v>
      </c>
      <c r="P2" s="1">
        <f t="shared" ref="P2:P29" si="0">D2/B2</f>
        <v>0.54487179487179493</v>
      </c>
      <c r="Q2" s="1">
        <f t="shared" ref="Q2:Q29" si="1">F2/B2</f>
        <v>1.0977564102564104</v>
      </c>
      <c r="R2" s="1">
        <f t="shared" ref="R2:R29" si="2">H2/B2</f>
        <v>0.54006410256410264</v>
      </c>
    </row>
    <row r="3" spans="1:18" x14ac:dyDescent="0.2">
      <c r="A3">
        <v>4</v>
      </c>
      <c r="B3" s="2">
        <v>106.7</v>
      </c>
      <c r="C3" s="2">
        <v>14.3</v>
      </c>
      <c r="D3" s="2">
        <v>72.5</v>
      </c>
      <c r="E3" s="2">
        <v>13.7</v>
      </c>
      <c r="F3" s="2">
        <v>130.5</v>
      </c>
      <c r="G3" s="2">
        <v>12.6</v>
      </c>
      <c r="H3" s="2">
        <v>73.400000000000006</v>
      </c>
      <c r="I3" s="2">
        <v>11.4</v>
      </c>
      <c r="J3" s="2">
        <v>-32.1</v>
      </c>
      <c r="K3" s="2">
        <v>22.3</v>
      </c>
      <c r="L3" s="2">
        <v>-43.8</v>
      </c>
      <c r="M3" s="2">
        <v>-11.9</v>
      </c>
      <c r="N3" s="2"/>
      <c r="O3">
        <v>1</v>
      </c>
      <c r="P3" s="1">
        <f t="shared" si="0"/>
        <v>0.67947516401124641</v>
      </c>
      <c r="Q3" s="1">
        <f t="shared" si="1"/>
        <v>1.2230552952202436</v>
      </c>
      <c r="R3" s="1">
        <f t="shared" si="2"/>
        <v>0.68791002811621371</v>
      </c>
    </row>
    <row r="4" spans="1:18" x14ac:dyDescent="0.2">
      <c r="A4">
        <v>6</v>
      </c>
      <c r="B4" s="2">
        <v>154.30000000000001</v>
      </c>
      <c r="C4" s="2">
        <v>19.399999999999999</v>
      </c>
      <c r="D4" s="2">
        <v>114.8</v>
      </c>
      <c r="E4" s="2">
        <v>17.5</v>
      </c>
      <c r="F4" s="2">
        <v>172.3</v>
      </c>
      <c r="G4" s="2">
        <v>14.8</v>
      </c>
      <c r="H4" s="2">
        <v>120.2</v>
      </c>
      <c r="I4" s="2">
        <v>14.1</v>
      </c>
      <c r="J4" s="2">
        <v>-25.6</v>
      </c>
      <c r="K4" s="2">
        <v>11.7</v>
      </c>
      <c r="L4" s="2">
        <v>-30.2</v>
      </c>
      <c r="M4" s="2">
        <v>-23.7</v>
      </c>
      <c r="N4" s="2"/>
      <c r="O4">
        <v>1</v>
      </c>
      <c r="P4" s="1">
        <f t="shared" si="0"/>
        <v>0.74400518470511978</v>
      </c>
      <c r="Q4" s="1">
        <f t="shared" si="1"/>
        <v>1.1166558651976668</v>
      </c>
      <c r="R4" s="1">
        <f t="shared" si="2"/>
        <v>0.77900194426441993</v>
      </c>
    </row>
    <row r="5" spans="1:18" x14ac:dyDescent="0.2">
      <c r="A5">
        <v>8</v>
      </c>
      <c r="B5" s="2">
        <v>217.1</v>
      </c>
      <c r="C5" s="2">
        <v>23.5</v>
      </c>
      <c r="D5" s="2">
        <v>176.8</v>
      </c>
      <c r="E5" s="2">
        <v>22.4</v>
      </c>
      <c r="F5" s="2">
        <v>222.9</v>
      </c>
      <c r="G5" s="2">
        <v>17.3</v>
      </c>
      <c r="H5" s="2">
        <v>171.7</v>
      </c>
      <c r="I5" s="2">
        <v>16.8</v>
      </c>
      <c r="J5" s="2">
        <v>-18.600000000000001</v>
      </c>
      <c r="K5" s="2">
        <v>2.7</v>
      </c>
      <c r="L5" s="2">
        <v>-23</v>
      </c>
      <c r="M5" s="2">
        <v>-26.4</v>
      </c>
      <c r="N5" s="2"/>
      <c r="O5">
        <v>1</v>
      </c>
      <c r="P5" s="1">
        <f t="shared" si="0"/>
        <v>0.81437125748503003</v>
      </c>
      <c r="Q5" s="1">
        <f t="shared" si="1"/>
        <v>1.0267157991708891</v>
      </c>
      <c r="R5" s="1">
        <f t="shared" si="2"/>
        <v>0.79087977890373096</v>
      </c>
    </row>
    <row r="6" spans="1:18" x14ac:dyDescent="0.2">
      <c r="A6">
        <v>10</v>
      </c>
      <c r="B6" s="2">
        <v>261.3</v>
      </c>
      <c r="C6" s="2">
        <v>27.4</v>
      </c>
      <c r="D6" s="2">
        <v>225.6</v>
      </c>
      <c r="E6" s="2">
        <v>26.3</v>
      </c>
      <c r="F6" s="2">
        <v>257.8</v>
      </c>
      <c r="G6" s="2">
        <v>19.100000000000001</v>
      </c>
      <c r="H6" s="2">
        <v>214.5</v>
      </c>
      <c r="I6" s="2">
        <v>19.100000000000001</v>
      </c>
      <c r="J6" s="2">
        <v>-13.7</v>
      </c>
      <c r="K6" s="2">
        <v>-1.3</v>
      </c>
      <c r="L6" s="2">
        <v>-16.8</v>
      </c>
      <c r="M6" s="2">
        <v>-30.3</v>
      </c>
      <c r="N6" s="2"/>
      <c r="O6">
        <v>1</v>
      </c>
      <c r="P6" s="1">
        <f t="shared" si="0"/>
        <v>0.86337543053960963</v>
      </c>
      <c r="Q6" s="1">
        <f t="shared" si="1"/>
        <v>0.9866054343666284</v>
      </c>
      <c r="R6" s="1">
        <f t="shared" si="2"/>
        <v>0.82089552238805963</v>
      </c>
    </row>
    <row r="7" spans="1:18" x14ac:dyDescent="0.2">
      <c r="A7">
        <v>12</v>
      </c>
      <c r="B7" s="2">
        <v>305.2</v>
      </c>
      <c r="C7" s="2">
        <v>32.9</v>
      </c>
      <c r="D7" s="2">
        <v>285.89999999999998</v>
      </c>
      <c r="E7" s="2">
        <v>32.5</v>
      </c>
      <c r="F7" s="2">
        <v>295</v>
      </c>
      <c r="G7" s="2">
        <v>22.9</v>
      </c>
      <c r="H7" s="2">
        <v>259.8</v>
      </c>
      <c r="I7" s="2">
        <v>22</v>
      </c>
      <c r="J7" s="2">
        <v>-6.3</v>
      </c>
      <c r="K7" s="2">
        <v>-3.3</v>
      </c>
      <c r="L7" s="2">
        <v>-11.9</v>
      </c>
      <c r="M7" s="2">
        <v>-30.4</v>
      </c>
      <c r="N7" s="2"/>
      <c r="O7">
        <v>1</v>
      </c>
      <c r="P7" s="1">
        <f t="shared" si="0"/>
        <v>0.93676277850589773</v>
      </c>
      <c r="Q7" s="1">
        <f t="shared" si="1"/>
        <v>0.96657929226736572</v>
      </c>
      <c r="R7" s="1">
        <f t="shared" si="2"/>
        <v>0.85124508519003939</v>
      </c>
    </row>
    <row r="8" spans="1:18" x14ac:dyDescent="0.2">
      <c r="A8">
        <v>14</v>
      </c>
      <c r="B8" s="2">
        <v>337.4</v>
      </c>
      <c r="C8" s="2">
        <v>36.9</v>
      </c>
      <c r="D8" s="2">
        <v>312</v>
      </c>
      <c r="E8" s="2">
        <v>35.9</v>
      </c>
      <c r="F8" s="2">
        <v>324.10000000000002</v>
      </c>
      <c r="G8" s="2">
        <v>25.7</v>
      </c>
      <c r="H8" s="2">
        <v>293.60000000000002</v>
      </c>
      <c r="I8" s="2">
        <v>23.2</v>
      </c>
      <c r="J8" s="2">
        <v>-7.5</v>
      </c>
      <c r="K8" s="2">
        <v>-3.9</v>
      </c>
      <c r="L8" s="2">
        <v>-9.4</v>
      </c>
      <c r="M8" s="2">
        <v>-30.4</v>
      </c>
      <c r="N8" s="2"/>
      <c r="O8">
        <v>1</v>
      </c>
      <c r="P8" s="1">
        <f t="shared" si="0"/>
        <v>0.92471843509187912</v>
      </c>
      <c r="Q8" s="1">
        <f t="shared" si="1"/>
        <v>0.96058091286307068</v>
      </c>
      <c r="R8" s="1">
        <f t="shared" si="2"/>
        <v>0.87018375815056326</v>
      </c>
    </row>
    <row r="9" spans="1:18" x14ac:dyDescent="0.2">
      <c r="A9">
        <v>16</v>
      </c>
      <c r="B9" s="2">
        <v>380.3</v>
      </c>
      <c r="C9" s="2">
        <v>40</v>
      </c>
      <c r="D9" s="2">
        <v>358.8</v>
      </c>
      <c r="E9" s="2">
        <v>38.9</v>
      </c>
      <c r="F9" s="2">
        <v>360</v>
      </c>
      <c r="G9" s="2">
        <v>26.3</v>
      </c>
      <c r="H9" s="2">
        <v>326</v>
      </c>
      <c r="I9" s="2">
        <v>24.7</v>
      </c>
      <c r="J9" s="2">
        <v>-5.7</v>
      </c>
      <c r="K9" s="2">
        <v>-5.3</v>
      </c>
      <c r="L9" s="2">
        <v>-9.4</v>
      </c>
      <c r="M9" s="2">
        <v>-34.200000000000003</v>
      </c>
      <c r="N9" s="2"/>
      <c r="O9">
        <v>1</v>
      </c>
      <c r="P9" s="1">
        <f t="shared" si="0"/>
        <v>0.94346568498553773</v>
      </c>
      <c r="Q9" s="1">
        <f t="shared" si="1"/>
        <v>0.94662108861425187</v>
      </c>
      <c r="R9" s="1">
        <f t="shared" si="2"/>
        <v>0.85721798580068365</v>
      </c>
    </row>
    <row r="10" spans="1:18" x14ac:dyDescent="0.2">
      <c r="A10">
        <v>18</v>
      </c>
      <c r="B10" s="2">
        <v>406.5</v>
      </c>
      <c r="C10" s="2">
        <v>43.3</v>
      </c>
      <c r="D10" s="2">
        <v>384.9</v>
      </c>
      <c r="E10" s="2">
        <v>41.5</v>
      </c>
      <c r="F10" s="2">
        <v>386.5</v>
      </c>
      <c r="G10" s="2">
        <v>28.2</v>
      </c>
      <c r="H10" s="2">
        <v>349.2</v>
      </c>
      <c r="I10" s="2">
        <v>26.6</v>
      </c>
      <c r="J10" s="2">
        <v>-5.3</v>
      </c>
      <c r="K10" s="2">
        <v>-4.9000000000000004</v>
      </c>
      <c r="L10" s="2">
        <v>-9.6999999999999993</v>
      </c>
      <c r="M10" s="2">
        <v>-34.9</v>
      </c>
      <c r="N10" s="2"/>
      <c r="O10">
        <v>1</v>
      </c>
      <c r="P10" s="1">
        <f t="shared" si="0"/>
        <v>0.94686346863468629</v>
      </c>
      <c r="Q10" s="1">
        <f t="shared" si="1"/>
        <v>0.95079950799507995</v>
      </c>
      <c r="R10" s="1">
        <f t="shared" si="2"/>
        <v>0.85904059040590408</v>
      </c>
    </row>
    <row r="11" spans="1:18" x14ac:dyDescent="0.2">
      <c r="A11">
        <v>20</v>
      </c>
      <c r="B11" s="2">
        <v>442.7</v>
      </c>
      <c r="C11" s="2">
        <v>49.2</v>
      </c>
      <c r="D11" s="2">
        <v>421.9</v>
      </c>
      <c r="E11" s="2">
        <v>46.8</v>
      </c>
      <c r="F11" s="2">
        <v>412.9</v>
      </c>
      <c r="G11" s="2">
        <v>31</v>
      </c>
      <c r="H11" s="2">
        <v>383.9</v>
      </c>
      <c r="I11" s="2">
        <v>29.4</v>
      </c>
      <c r="J11" s="2">
        <v>-4.7</v>
      </c>
      <c r="K11" s="2">
        <v>-6.7</v>
      </c>
      <c r="L11" s="2">
        <v>-7</v>
      </c>
      <c r="M11" s="2">
        <v>-37</v>
      </c>
      <c r="N11" s="2"/>
      <c r="O11">
        <v>1</v>
      </c>
      <c r="P11" s="1">
        <f t="shared" si="0"/>
        <v>0.95301558617573978</v>
      </c>
      <c r="Q11" s="1">
        <f t="shared" si="1"/>
        <v>0.93268579173255028</v>
      </c>
      <c r="R11" s="1">
        <f t="shared" si="2"/>
        <v>0.86717867630449508</v>
      </c>
    </row>
    <row r="12" spans="1:18" x14ac:dyDescent="0.2">
      <c r="A12">
        <v>22</v>
      </c>
      <c r="B12" s="2">
        <v>468.9</v>
      </c>
      <c r="C12" s="2">
        <v>53.4</v>
      </c>
      <c r="D12" s="2">
        <v>445.8</v>
      </c>
      <c r="E12" s="2">
        <v>52.3</v>
      </c>
      <c r="F12" s="2">
        <v>433.2</v>
      </c>
      <c r="G12" s="2">
        <v>33.4</v>
      </c>
      <c r="H12" s="2">
        <v>408.8</v>
      </c>
      <c r="I12" s="2">
        <v>31.5</v>
      </c>
      <c r="J12" s="2">
        <v>-4.9000000000000004</v>
      </c>
      <c r="K12" s="2">
        <v>-7.6</v>
      </c>
      <c r="L12" s="2">
        <v>-5.6</v>
      </c>
      <c r="M12" s="2">
        <v>-37.5</v>
      </c>
      <c r="N12" s="2"/>
      <c r="O12">
        <v>1</v>
      </c>
      <c r="P12" s="1">
        <f t="shared" si="0"/>
        <v>0.95073576455534237</v>
      </c>
      <c r="Q12" s="1">
        <f t="shared" si="1"/>
        <v>0.92386436340371081</v>
      </c>
      <c r="R12" s="1">
        <f t="shared" si="2"/>
        <v>0.87182768180848802</v>
      </c>
    </row>
    <row r="13" spans="1:18" x14ac:dyDescent="0.2">
      <c r="A13">
        <v>24</v>
      </c>
      <c r="B13" s="2">
        <v>491.3</v>
      </c>
      <c r="C13" s="2">
        <v>59.6</v>
      </c>
      <c r="D13" s="2">
        <v>475.2</v>
      </c>
      <c r="E13" s="2">
        <v>57.8</v>
      </c>
      <c r="F13" s="2">
        <v>452.3</v>
      </c>
      <c r="G13" s="2">
        <v>36.4</v>
      </c>
      <c r="H13" s="2">
        <v>434</v>
      </c>
      <c r="I13" s="2">
        <v>35</v>
      </c>
      <c r="J13" s="2">
        <v>-3.3</v>
      </c>
      <c r="K13" s="2">
        <v>-7.9</v>
      </c>
      <c r="L13" s="2">
        <v>-4</v>
      </c>
      <c r="M13" s="2">
        <v>-38.9</v>
      </c>
      <c r="N13" s="2"/>
      <c r="O13">
        <v>1</v>
      </c>
      <c r="P13" s="1">
        <f t="shared" si="0"/>
        <v>0.96722979849379198</v>
      </c>
      <c r="Q13" s="1">
        <f t="shared" si="1"/>
        <v>0.92061876653775698</v>
      </c>
      <c r="R13" s="1">
        <f t="shared" si="2"/>
        <v>0.88337064929778142</v>
      </c>
    </row>
    <row r="14" spans="1:18" x14ac:dyDescent="0.2">
      <c r="A14">
        <v>26</v>
      </c>
      <c r="B14" s="2">
        <v>515.6</v>
      </c>
      <c r="C14" s="2">
        <v>66</v>
      </c>
      <c r="D14" s="2">
        <v>503</v>
      </c>
      <c r="E14" s="2">
        <v>64.7</v>
      </c>
      <c r="F14" s="2">
        <v>475.1</v>
      </c>
      <c r="G14" s="2">
        <v>39.9</v>
      </c>
      <c r="H14" s="2">
        <v>457.9</v>
      </c>
      <c r="I14" s="2">
        <v>39.1</v>
      </c>
      <c r="J14" s="2">
        <v>-2.4</v>
      </c>
      <c r="K14" s="2">
        <v>-7.9</v>
      </c>
      <c r="L14" s="2">
        <v>-3.6</v>
      </c>
      <c r="M14" s="2">
        <v>-39.5</v>
      </c>
      <c r="N14" s="2"/>
      <c r="O14">
        <v>1</v>
      </c>
      <c r="P14" s="1">
        <f t="shared" si="0"/>
        <v>0.97556245151280063</v>
      </c>
      <c r="Q14" s="1">
        <f t="shared" si="1"/>
        <v>0.92145073700543056</v>
      </c>
      <c r="R14" s="1">
        <f t="shared" si="2"/>
        <v>0.88809154383242817</v>
      </c>
    </row>
    <row r="15" spans="1:18" x14ac:dyDescent="0.2">
      <c r="A15">
        <v>28</v>
      </c>
      <c r="B15" s="2">
        <v>540</v>
      </c>
      <c r="C15" s="2">
        <v>70.7</v>
      </c>
      <c r="D15" s="2">
        <v>521.9</v>
      </c>
      <c r="E15" s="2">
        <v>68.8</v>
      </c>
      <c r="F15" s="2">
        <v>492.4</v>
      </c>
      <c r="G15" s="2">
        <v>42.6</v>
      </c>
      <c r="H15" s="2">
        <v>474.8</v>
      </c>
      <c r="I15" s="2">
        <v>40.6</v>
      </c>
      <c r="J15" s="2">
        <v>-3.4</v>
      </c>
      <c r="K15" s="2">
        <v>-8.8000000000000007</v>
      </c>
      <c r="L15" s="2">
        <v>-3.6</v>
      </c>
      <c r="M15" s="2">
        <v>-39.700000000000003</v>
      </c>
      <c r="N15" s="2"/>
      <c r="O15">
        <v>1</v>
      </c>
      <c r="P15" s="1">
        <f t="shared" si="0"/>
        <v>0.96648148148148139</v>
      </c>
      <c r="Q15" s="1">
        <f t="shared" si="1"/>
        <v>0.9118518518518518</v>
      </c>
      <c r="R15" s="1">
        <f t="shared" si="2"/>
        <v>0.8792592592592593</v>
      </c>
    </row>
    <row r="16" spans="1:18" x14ac:dyDescent="0.2">
      <c r="A16">
        <v>30</v>
      </c>
      <c r="B16" s="2">
        <v>568.1</v>
      </c>
      <c r="C16" s="2">
        <v>78.2</v>
      </c>
      <c r="D16" s="2">
        <v>555.70000000000005</v>
      </c>
      <c r="E16" s="2">
        <v>76.5</v>
      </c>
      <c r="F16" s="2">
        <v>518.5</v>
      </c>
      <c r="G16" s="2">
        <v>46.3</v>
      </c>
      <c r="H16" s="2">
        <v>501</v>
      </c>
      <c r="I16" s="2">
        <v>45.3</v>
      </c>
      <c r="J16" s="2">
        <v>-2.2000000000000002</v>
      </c>
      <c r="K16" s="2">
        <v>-8.6999999999999993</v>
      </c>
      <c r="L16" s="2">
        <v>-3.4</v>
      </c>
      <c r="M16" s="2">
        <v>-40.799999999999997</v>
      </c>
      <c r="N16" s="2"/>
      <c r="O16">
        <v>1</v>
      </c>
      <c r="P16" s="1">
        <f t="shared" si="0"/>
        <v>0.97817285689139244</v>
      </c>
      <c r="Q16" s="1">
        <f t="shared" si="1"/>
        <v>0.91269142756556942</v>
      </c>
      <c r="R16" s="1">
        <f t="shared" si="2"/>
        <v>0.88188699172680862</v>
      </c>
    </row>
    <row r="17" spans="1:18" x14ac:dyDescent="0.2">
      <c r="A17">
        <v>32</v>
      </c>
      <c r="B17" s="2">
        <v>592.20000000000005</v>
      </c>
      <c r="C17" s="2">
        <v>84.5</v>
      </c>
      <c r="D17" s="2">
        <v>576.20000000000005</v>
      </c>
      <c r="E17" s="2">
        <v>82.8</v>
      </c>
      <c r="F17" s="2">
        <v>535.4</v>
      </c>
      <c r="G17" s="2">
        <v>50.3</v>
      </c>
      <c r="H17" s="2">
        <v>518.79999999999995</v>
      </c>
      <c r="I17" s="2">
        <v>49.3</v>
      </c>
      <c r="J17" s="2">
        <v>-2.7</v>
      </c>
      <c r="K17" s="2">
        <v>-9.6</v>
      </c>
      <c r="L17" s="2">
        <v>-3.1</v>
      </c>
      <c r="M17" s="2">
        <v>-40.5</v>
      </c>
      <c r="N17" s="2"/>
      <c r="O17">
        <v>1</v>
      </c>
      <c r="P17" s="1">
        <f t="shared" si="0"/>
        <v>0.97298210064167512</v>
      </c>
      <c r="Q17" s="1">
        <f t="shared" si="1"/>
        <v>0.90408645727794656</v>
      </c>
      <c r="R17" s="1">
        <f t="shared" si="2"/>
        <v>0.87605538669368443</v>
      </c>
    </row>
    <row r="18" spans="1:18" x14ac:dyDescent="0.2">
      <c r="A18">
        <v>34</v>
      </c>
      <c r="B18" s="2">
        <v>613.4</v>
      </c>
      <c r="C18" s="2">
        <v>89.1</v>
      </c>
      <c r="D18" s="2">
        <v>594.9</v>
      </c>
      <c r="E18" s="2">
        <v>87</v>
      </c>
      <c r="F18" s="2">
        <v>551.70000000000005</v>
      </c>
      <c r="G18" s="2">
        <v>53.5</v>
      </c>
      <c r="H18" s="2">
        <v>534.20000000000005</v>
      </c>
      <c r="I18" s="2">
        <v>50.8</v>
      </c>
      <c r="J18" s="2">
        <v>-3</v>
      </c>
      <c r="K18" s="2">
        <v>-10.1</v>
      </c>
      <c r="L18" s="2">
        <v>-3.2</v>
      </c>
      <c r="M18" s="2">
        <v>-40</v>
      </c>
      <c r="N18" s="2"/>
      <c r="O18">
        <v>1</v>
      </c>
      <c r="P18" s="1">
        <f t="shared" si="0"/>
        <v>0.96984023475709158</v>
      </c>
      <c r="Q18" s="1">
        <f t="shared" si="1"/>
        <v>0.89941310727094892</v>
      </c>
      <c r="R18" s="1">
        <f t="shared" si="2"/>
        <v>0.87088359960873829</v>
      </c>
    </row>
    <row r="19" spans="1:18" x14ac:dyDescent="0.2">
      <c r="A19">
        <v>36</v>
      </c>
      <c r="B19" s="2">
        <v>638</v>
      </c>
      <c r="C19" s="2">
        <v>96.2</v>
      </c>
      <c r="D19" s="2">
        <v>616.79999999999995</v>
      </c>
      <c r="E19" s="2">
        <v>93.1</v>
      </c>
      <c r="F19" s="2">
        <v>570.9</v>
      </c>
      <c r="G19" s="2">
        <v>57.4</v>
      </c>
      <c r="H19" s="2">
        <v>552.20000000000005</v>
      </c>
      <c r="I19" s="2">
        <v>54</v>
      </c>
      <c r="J19" s="2">
        <v>-3.3</v>
      </c>
      <c r="K19" s="2">
        <v>-10.5</v>
      </c>
      <c r="L19" s="2">
        <v>-3.3</v>
      </c>
      <c r="M19" s="2">
        <v>-40.299999999999997</v>
      </c>
      <c r="N19" s="2"/>
      <c r="O19">
        <v>1</v>
      </c>
      <c r="P19" s="1">
        <f t="shared" si="0"/>
        <v>0.96677115987460804</v>
      </c>
      <c r="Q19" s="1">
        <f t="shared" si="1"/>
        <v>0.89482758620689651</v>
      </c>
      <c r="R19" s="1">
        <f t="shared" si="2"/>
        <v>0.86551724137931041</v>
      </c>
    </row>
    <row r="20" spans="1:18" x14ac:dyDescent="0.2">
      <c r="A20">
        <v>38</v>
      </c>
      <c r="B20" s="2">
        <v>655.29999999999995</v>
      </c>
      <c r="C20" s="2">
        <v>101.9</v>
      </c>
      <c r="D20" s="2">
        <v>639</v>
      </c>
      <c r="E20" s="2">
        <v>100</v>
      </c>
      <c r="F20" s="2">
        <v>588</v>
      </c>
      <c r="G20" s="2">
        <v>61</v>
      </c>
      <c r="H20" s="2">
        <v>572.20000000000005</v>
      </c>
      <c r="I20" s="2">
        <v>58.4</v>
      </c>
      <c r="J20" s="2">
        <v>-2.5</v>
      </c>
      <c r="K20" s="2">
        <v>-10.3</v>
      </c>
      <c r="L20" s="2">
        <v>-2.7</v>
      </c>
      <c r="M20" s="2">
        <v>-40.1</v>
      </c>
      <c r="N20" s="2"/>
      <c r="O20">
        <v>1</v>
      </c>
      <c r="P20" s="1">
        <f t="shared" si="0"/>
        <v>0.97512589653593784</v>
      </c>
      <c r="Q20" s="1">
        <f t="shared" si="1"/>
        <v>0.89729894704715407</v>
      </c>
      <c r="R20" s="1">
        <f t="shared" si="2"/>
        <v>0.87318785289180545</v>
      </c>
    </row>
    <row r="21" spans="1:18" x14ac:dyDescent="0.2">
      <c r="A21">
        <v>40</v>
      </c>
      <c r="B21" s="2">
        <v>676.2</v>
      </c>
      <c r="C21" s="2">
        <v>109.1</v>
      </c>
      <c r="D21" s="2">
        <v>661.1</v>
      </c>
      <c r="E21" s="2">
        <v>106.8</v>
      </c>
      <c r="F21" s="2">
        <v>604.20000000000005</v>
      </c>
      <c r="G21" s="2">
        <v>63.8</v>
      </c>
      <c r="H21" s="2">
        <v>582.9</v>
      </c>
      <c r="I21" s="2">
        <v>61.5</v>
      </c>
      <c r="J21" s="2">
        <v>-2.2000000000000002</v>
      </c>
      <c r="K21" s="2">
        <v>-10.6</v>
      </c>
      <c r="L21" s="2">
        <v>-3.5</v>
      </c>
      <c r="M21" s="2">
        <v>-41.5</v>
      </c>
      <c r="N21" s="2"/>
      <c r="O21">
        <v>1</v>
      </c>
      <c r="P21" s="1">
        <f t="shared" si="0"/>
        <v>0.97766932860100564</v>
      </c>
      <c r="Q21" s="1">
        <f t="shared" si="1"/>
        <v>0.89352262644188107</v>
      </c>
      <c r="R21" s="1">
        <f t="shared" si="2"/>
        <v>0.86202307009760415</v>
      </c>
    </row>
    <row r="22" spans="1:18" x14ac:dyDescent="0.2">
      <c r="A22">
        <v>60</v>
      </c>
      <c r="B22" s="2">
        <v>899.8</v>
      </c>
      <c r="C22" s="2">
        <v>192.5</v>
      </c>
      <c r="D22" s="2">
        <v>882.8</v>
      </c>
      <c r="E22" s="2">
        <v>190.5</v>
      </c>
      <c r="F22" s="2">
        <v>779.9</v>
      </c>
      <c r="G22" s="2">
        <v>114.4</v>
      </c>
      <c r="H22" s="2">
        <v>764.7</v>
      </c>
      <c r="I22" s="2">
        <v>110.5</v>
      </c>
      <c r="J22" s="2">
        <v>-1.9</v>
      </c>
      <c r="K22" s="2">
        <v>-13.3</v>
      </c>
      <c r="L22" s="2">
        <v>-1.9</v>
      </c>
      <c r="M22" s="2">
        <v>-40.6</v>
      </c>
      <c r="N22" s="2"/>
      <c r="O22">
        <v>1</v>
      </c>
      <c r="P22" s="1">
        <f t="shared" si="0"/>
        <v>0.98110691264725491</v>
      </c>
      <c r="Q22" s="1">
        <f t="shared" si="1"/>
        <v>0.86674816625916873</v>
      </c>
      <c r="R22" s="1">
        <f t="shared" si="2"/>
        <v>0.84985552344965554</v>
      </c>
    </row>
    <row r="23" spans="1:18" x14ac:dyDescent="0.2">
      <c r="A23">
        <v>80</v>
      </c>
      <c r="B23" s="2">
        <v>1109.9000000000001</v>
      </c>
      <c r="C23" s="2">
        <v>298</v>
      </c>
      <c r="D23" s="2">
        <v>1086.2</v>
      </c>
      <c r="E23" s="2">
        <v>293.2</v>
      </c>
      <c r="F23" s="2">
        <v>950.1</v>
      </c>
      <c r="G23" s="2">
        <v>179.4</v>
      </c>
      <c r="H23" s="2">
        <v>930.2</v>
      </c>
      <c r="I23" s="2">
        <v>173.8</v>
      </c>
      <c r="J23" s="2">
        <v>-2.1</v>
      </c>
      <c r="K23" s="2">
        <v>-14.4</v>
      </c>
      <c r="L23" s="2">
        <v>-2.1</v>
      </c>
      <c r="M23" s="2">
        <v>-39.799999999999997</v>
      </c>
      <c r="N23" s="2"/>
      <c r="O23">
        <v>1</v>
      </c>
      <c r="P23" s="1">
        <f t="shared" si="0"/>
        <v>0.97864672493017391</v>
      </c>
      <c r="Q23" s="1">
        <f t="shared" si="1"/>
        <v>0.85602306514100368</v>
      </c>
      <c r="R23" s="1">
        <f t="shared" si="2"/>
        <v>0.8380935219389134</v>
      </c>
    </row>
    <row r="24" spans="1:18" x14ac:dyDescent="0.2">
      <c r="A24">
        <v>100</v>
      </c>
      <c r="B24" s="2">
        <v>1320</v>
      </c>
      <c r="C24" s="2">
        <v>428.3</v>
      </c>
      <c r="D24" s="2">
        <v>1297.0999999999999</v>
      </c>
      <c r="E24" s="2">
        <v>422.9</v>
      </c>
      <c r="F24" s="2">
        <v>1115.2</v>
      </c>
      <c r="G24" s="2">
        <v>256.89999999999998</v>
      </c>
      <c r="H24" s="2">
        <v>1096</v>
      </c>
      <c r="I24" s="2">
        <v>252.4</v>
      </c>
      <c r="J24" s="2">
        <v>-1.7</v>
      </c>
      <c r="K24" s="2">
        <v>-15.5</v>
      </c>
      <c r="L24" s="2">
        <v>-1.7</v>
      </c>
      <c r="M24" s="2">
        <v>-40</v>
      </c>
      <c r="N24" s="2"/>
      <c r="O24">
        <v>1</v>
      </c>
      <c r="P24" s="1">
        <f t="shared" si="0"/>
        <v>0.98265151515151505</v>
      </c>
      <c r="Q24" s="1">
        <f t="shared" si="1"/>
        <v>0.84484848484848485</v>
      </c>
      <c r="R24" s="1">
        <f t="shared" si="2"/>
        <v>0.83030303030303032</v>
      </c>
    </row>
    <row r="25" spans="1:18" x14ac:dyDescent="0.2">
      <c r="A25">
        <v>120</v>
      </c>
      <c r="B25" s="2">
        <v>1533.6</v>
      </c>
      <c r="C25" s="2">
        <v>585.79999999999995</v>
      </c>
      <c r="D25" s="2">
        <v>1511</v>
      </c>
      <c r="E25" s="2">
        <v>578.79999999999995</v>
      </c>
      <c r="F25" s="2">
        <v>1287.4000000000001</v>
      </c>
      <c r="G25" s="2">
        <v>356.1</v>
      </c>
      <c r="H25" s="2">
        <v>1268.4000000000001</v>
      </c>
      <c r="I25" s="2">
        <v>347.3</v>
      </c>
      <c r="J25" s="2">
        <v>-1.5</v>
      </c>
      <c r="K25" s="2">
        <v>-16.100000000000001</v>
      </c>
      <c r="L25" s="2">
        <v>-1.5</v>
      </c>
      <c r="M25" s="2">
        <v>-39.200000000000003</v>
      </c>
      <c r="N25" s="2"/>
      <c r="O25">
        <v>1</v>
      </c>
      <c r="P25" s="1">
        <f t="shared" si="0"/>
        <v>0.98526343244653114</v>
      </c>
      <c r="Q25" s="1">
        <f t="shared" si="1"/>
        <v>0.83946270213875862</v>
      </c>
      <c r="R25" s="1">
        <f t="shared" si="2"/>
        <v>0.82707355242566516</v>
      </c>
    </row>
    <row r="26" spans="1:18" x14ac:dyDescent="0.2">
      <c r="A26">
        <v>140</v>
      </c>
      <c r="B26" s="2">
        <v>1736.3</v>
      </c>
      <c r="C26" s="2">
        <v>764.8</v>
      </c>
      <c r="D26" s="2">
        <v>1709.2</v>
      </c>
      <c r="E26" s="2">
        <v>755.7</v>
      </c>
      <c r="F26" s="2">
        <v>1447.2</v>
      </c>
      <c r="G26" s="2">
        <v>462.7</v>
      </c>
      <c r="H26" s="2">
        <v>1430.2</v>
      </c>
      <c r="I26" s="2">
        <v>452.6</v>
      </c>
      <c r="J26" s="2">
        <v>-1.6</v>
      </c>
      <c r="K26" s="2">
        <v>-16.7</v>
      </c>
      <c r="L26" s="2">
        <v>-1.2</v>
      </c>
      <c r="M26" s="2">
        <v>-39.5</v>
      </c>
      <c r="N26" s="2"/>
      <c r="O26">
        <v>1</v>
      </c>
      <c r="P26" s="1">
        <f t="shared" si="0"/>
        <v>0.9843920981397225</v>
      </c>
      <c r="Q26" s="1">
        <f t="shared" si="1"/>
        <v>0.83349651557910509</v>
      </c>
      <c r="R26" s="1">
        <f t="shared" si="2"/>
        <v>0.82370558083280543</v>
      </c>
    </row>
    <row r="27" spans="1:18" x14ac:dyDescent="0.2">
      <c r="A27">
        <v>160</v>
      </c>
      <c r="B27" s="2">
        <v>1958</v>
      </c>
      <c r="C27" s="2">
        <v>978.3</v>
      </c>
      <c r="D27" s="2">
        <v>1924.4</v>
      </c>
      <c r="E27" s="2">
        <v>964.3</v>
      </c>
      <c r="F27" s="2">
        <v>1619.1</v>
      </c>
      <c r="G27" s="2">
        <v>595.1</v>
      </c>
      <c r="H27" s="2">
        <v>1601.2</v>
      </c>
      <c r="I27" s="2">
        <v>582.1</v>
      </c>
      <c r="J27" s="2">
        <v>-1.7</v>
      </c>
      <c r="K27" s="2">
        <v>-17.3</v>
      </c>
      <c r="L27" s="2">
        <v>-1.1000000000000001</v>
      </c>
      <c r="M27" s="2">
        <v>-39.200000000000003</v>
      </c>
      <c r="N27" s="2"/>
      <c r="O27">
        <v>1</v>
      </c>
      <c r="P27" s="1">
        <f t="shared" si="0"/>
        <v>0.98283963227783455</v>
      </c>
      <c r="Q27" s="1">
        <f t="shared" si="1"/>
        <v>0.82691521961184877</v>
      </c>
      <c r="R27" s="1">
        <f t="shared" si="2"/>
        <v>0.81777323799795709</v>
      </c>
    </row>
    <row r="28" spans="1:18" x14ac:dyDescent="0.2">
      <c r="A28">
        <v>180</v>
      </c>
      <c r="B28" s="2">
        <v>2160.8000000000002</v>
      </c>
      <c r="C28" s="2">
        <v>1212.4000000000001</v>
      </c>
      <c r="D28" s="2">
        <v>2132</v>
      </c>
      <c r="E28" s="2">
        <v>1200</v>
      </c>
      <c r="F28" s="2">
        <v>1779.4</v>
      </c>
      <c r="G28" s="2">
        <v>735.4</v>
      </c>
      <c r="H28" s="2">
        <v>1764.3</v>
      </c>
      <c r="I28" s="2">
        <v>722</v>
      </c>
      <c r="J28" s="2">
        <v>-1.3</v>
      </c>
      <c r="K28" s="2">
        <v>-17.7</v>
      </c>
      <c r="L28" s="2">
        <v>-0.8</v>
      </c>
      <c r="M28" s="2">
        <v>-39.299999999999997</v>
      </c>
      <c r="N28" s="2"/>
      <c r="O28">
        <v>1</v>
      </c>
      <c r="P28" s="1">
        <f t="shared" si="0"/>
        <v>0.98667160310995916</v>
      </c>
      <c r="Q28" s="1">
        <f t="shared" si="1"/>
        <v>0.82349129951869671</v>
      </c>
      <c r="R28" s="1">
        <f t="shared" si="2"/>
        <v>0.81650314698259896</v>
      </c>
    </row>
    <row r="29" spans="1:18" x14ac:dyDescent="0.2">
      <c r="A29">
        <v>200</v>
      </c>
      <c r="B29" s="2">
        <v>2369.8000000000002</v>
      </c>
      <c r="C29" s="2">
        <v>1470.6</v>
      </c>
      <c r="D29" s="2">
        <v>2342.5</v>
      </c>
      <c r="E29" s="2">
        <v>1458.6</v>
      </c>
      <c r="F29" s="2">
        <v>1940.2</v>
      </c>
      <c r="G29" s="2">
        <v>887.7</v>
      </c>
      <c r="H29" s="2">
        <v>1927.7</v>
      </c>
      <c r="I29" s="2">
        <v>875.2</v>
      </c>
      <c r="J29" s="2">
        <v>-1.2</v>
      </c>
      <c r="K29" s="2">
        <v>-18.100000000000001</v>
      </c>
      <c r="L29" s="2">
        <v>-0.6</v>
      </c>
      <c r="M29" s="2">
        <v>-39.6</v>
      </c>
      <c r="N29" s="2"/>
      <c r="O29">
        <v>1</v>
      </c>
      <c r="P29" s="1">
        <f t="shared" si="0"/>
        <v>0.98848004050974758</v>
      </c>
      <c r="Q29" s="1">
        <f t="shared" si="1"/>
        <v>0.81871887923031472</v>
      </c>
      <c r="R29" s="1">
        <f t="shared" si="2"/>
        <v>0.81344417250400869</v>
      </c>
    </row>
    <row r="30" spans="1:18" x14ac:dyDescent="0.2">
      <c r="P30" s="1"/>
      <c r="Q30" s="1"/>
      <c r="R30" s="1"/>
    </row>
    <row r="31" spans="1:18" x14ac:dyDescent="0.2">
      <c r="P31" s="1"/>
      <c r="Q31" s="1"/>
      <c r="R31" s="1"/>
    </row>
    <row r="32" spans="1:18" x14ac:dyDescent="0.2">
      <c r="P32" s="1"/>
      <c r="Q32" s="1"/>
      <c r="R32" s="1"/>
    </row>
    <row r="33" spans="16:18" x14ac:dyDescent="0.2">
      <c r="P33" s="1"/>
      <c r="Q33" s="1"/>
      <c r="R33" s="1"/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line6</vt:lpstr>
      <vt:lpstr>quito5</vt:lpstr>
      <vt:lpstr>grid9</vt:lpstr>
      <vt:lpstr>guadalupe16</vt:lpstr>
      <vt:lpstr>grid9-5</vt:lpstr>
      <vt:lpstr>guadalupe16-8</vt:lpstr>
      <vt:lpstr>guadalupe16-8legs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Lauri Vuorenkoski</cp:lastModifiedBy>
  <dcterms:created xsi:type="dcterms:W3CDTF">2025-08-06T10:12:00Z</dcterms:created>
  <dcterms:modified xsi:type="dcterms:W3CDTF">2025-08-11T17:45:23Z</dcterms:modified>
</cp:coreProperties>
</file>