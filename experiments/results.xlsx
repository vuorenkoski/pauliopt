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vuorenk/Documents/vaikkari/paulioptnew/pauliopt/experiments/"/>
    </mc:Choice>
  </mc:AlternateContent>
  <xr:revisionPtr revIDLastSave="0" documentId="13_ncr:1_{0E33A379-C3E8-C649-8ECF-D8F441A21159}" xr6:coauthVersionLast="47" xr6:coauthVersionMax="47" xr10:uidLastSave="{00000000-0000-0000-0000-000000000000}"/>
  <bookViews>
    <workbookView xWindow="680" yWindow="760" windowWidth="28040" windowHeight="17240" activeTab="5" xr2:uid="{85E89CC3-FE57-2C44-8224-50BF94C0E0C4}"/>
  </bookViews>
  <sheets>
    <sheet name="line6" sheetId="1" r:id="rId1"/>
    <sheet name="line6 depth" sheetId="13" r:id="rId2"/>
    <sheet name="quito5" sheetId="5" r:id="rId3"/>
    <sheet name="quito5 depth" sheetId="14" r:id="rId4"/>
    <sheet name="grid9" sheetId="6" r:id="rId5"/>
    <sheet name="grid9 depth" sheetId="15" r:id="rId6"/>
    <sheet name="guadalupe16" sheetId="7" r:id="rId7"/>
    <sheet name="guadalupe depth" sheetId="16" r:id="rId8"/>
    <sheet name="Molecules" sheetId="1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" i="16" l="1"/>
  <c r="M37" i="16"/>
  <c r="L37" i="16"/>
  <c r="J37" i="16"/>
  <c r="N36" i="16"/>
  <c r="M36" i="16"/>
  <c r="L36" i="16"/>
  <c r="J36" i="16"/>
  <c r="N35" i="16"/>
  <c r="M35" i="16"/>
  <c r="L35" i="16"/>
  <c r="J35" i="16"/>
  <c r="N34" i="16"/>
  <c r="M34" i="16"/>
  <c r="L34" i="16"/>
  <c r="J34" i="16"/>
  <c r="N33" i="16"/>
  <c r="M33" i="16"/>
  <c r="L33" i="16"/>
  <c r="J33" i="16"/>
  <c r="N32" i="16"/>
  <c r="M32" i="16"/>
  <c r="L32" i="16"/>
  <c r="J32" i="16"/>
  <c r="N31" i="16"/>
  <c r="M31" i="16"/>
  <c r="L31" i="16"/>
  <c r="J31" i="16"/>
  <c r="N30" i="16"/>
  <c r="M30" i="16"/>
  <c r="L30" i="16"/>
  <c r="J30" i="16"/>
  <c r="N29" i="16"/>
  <c r="M29" i="16"/>
  <c r="L29" i="16"/>
  <c r="J29" i="16"/>
  <c r="N28" i="16"/>
  <c r="M28" i="16"/>
  <c r="L28" i="16"/>
  <c r="J28" i="16"/>
  <c r="N27" i="16"/>
  <c r="M27" i="16"/>
  <c r="L27" i="16"/>
  <c r="J27" i="16"/>
  <c r="N26" i="16"/>
  <c r="M26" i="16"/>
  <c r="L26" i="16"/>
  <c r="J26" i="16"/>
  <c r="N25" i="16"/>
  <c r="M25" i="16"/>
  <c r="L25" i="16"/>
  <c r="J25" i="16"/>
  <c r="N24" i="16"/>
  <c r="M24" i="16"/>
  <c r="L24" i="16"/>
  <c r="J24" i="16"/>
  <c r="N23" i="16"/>
  <c r="M23" i="16"/>
  <c r="L23" i="16"/>
  <c r="J23" i="16"/>
  <c r="N22" i="16"/>
  <c r="M22" i="16"/>
  <c r="L22" i="16"/>
  <c r="J22" i="16"/>
  <c r="N21" i="16"/>
  <c r="M21" i="16"/>
  <c r="L21" i="16"/>
  <c r="J21" i="16"/>
  <c r="N20" i="16"/>
  <c r="M20" i="16"/>
  <c r="L20" i="16"/>
  <c r="J20" i="16"/>
  <c r="N19" i="16"/>
  <c r="M19" i="16"/>
  <c r="L19" i="16"/>
  <c r="J19" i="16"/>
  <c r="N18" i="16"/>
  <c r="M18" i="16"/>
  <c r="L18" i="16"/>
  <c r="J18" i="16"/>
  <c r="N17" i="16"/>
  <c r="M17" i="16"/>
  <c r="L17" i="16"/>
  <c r="J17" i="16"/>
  <c r="N16" i="16"/>
  <c r="M16" i="16"/>
  <c r="L16" i="16"/>
  <c r="J16" i="16"/>
  <c r="N15" i="16"/>
  <c r="M15" i="16"/>
  <c r="L15" i="16"/>
  <c r="J15" i="16"/>
  <c r="N14" i="16"/>
  <c r="M14" i="16"/>
  <c r="L14" i="16"/>
  <c r="J14" i="16"/>
  <c r="N13" i="16"/>
  <c r="M13" i="16"/>
  <c r="L13" i="16"/>
  <c r="J13" i="16"/>
  <c r="N12" i="16"/>
  <c r="M12" i="16"/>
  <c r="L12" i="16"/>
  <c r="J12" i="16"/>
  <c r="N11" i="16"/>
  <c r="M11" i="16"/>
  <c r="L11" i="16"/>
  <c r="J11" i="16"/>
  <c r="N10" i="16"/>
  <c r="M10" i="16"/>
  <c r="L10" i="16"/>
  <c r="J10" i="16"/>
  <c r="N9" i="16"/>
  <c r="M9" i="16"/>
  <c r="L9" i="16"/>
  <c r="J9" i="16"/>
  <c r="N8" i="16"/>
  <c r="M8" i="16"/>
  <c r="L8" i="16"/>
  <c r="J8" i="16"/>
  <c r="N7" i="16"/>
  <c r="M7" i="16"/>
  <c r="L7" i="16"/>
  <c r="J7" i="16"/>
  <c r="N6" i="16"/>
  <c r="M6" i="16"/>
  <c r="L6" i="16"/>
  <c r="J6" i="16"/>
  <c r="N5" i="16"/>
  <c r="M5" i="16"/>
  <c r="L5" i="16"/>
  <c r="J5" i="16"/>
  <c r="N4" i="16"/>
  <c r="M4" i="16"/>
  <c r="L4" i="16"/>
  <c r="J4" i="16"/>
  <c r="N3" i="16"/>
  <c r="M3" i="16"/>
  <c r="L3" i="16"/>
  <c r="J3" i="16"/>
  <c r="N2" i="16"/>
  <c r="M2" i="16"/>
  <c r="L2" i="16"/>
  <c r="J2" i="16"/>
  <c r="N37" i="7"/>
  <c r="M37" i="7"/>
  <c r="L37" i="7"/>
  <c r="N36" i="7"/>
  <c r="M36" i="7"/>
  <c r="L36" i="7"/>
  <c r="N35" i="7"/>
  <c r="M35" i="7"/>
  <c r="L35" i="7"/>
  <c r="N34" i="7"/>
  <c r="M34" i="7"/>
  <c r="L34" i="7"/>
  <c r="N33" i="7"/>
  <c r="M33" i="7"/>
  <c r="L33" i="7"/>
  <c r="N32" i="7"/>
  <c r="M32" i="7"/>
  <c r="L32" i="7"/>
  <c r="N31" i="7"/>
  <c r="M31" i="7"/>
  <c r="L31" i="7"/>
  <c r="N30" i="7"/>
  <c r="M30" i="7"/>
  <c r="L30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N46" i="15"/>
  <c r="M46" i="15"/>
  <c r="L46" i="15"/>
  <c r="N45" i="15"/>
  <c r="M45" i="15"/>
  <c r="L45" i="15"/>
  <c r="J45" i="15"/>
  <c r="N44" i="15"/>
  <c r="M44" i="15"/>
  <c r="L44" i="15"/>
  <c r="J44" i="15"/>
  <c r="N43" i="15"/>
  <c r="M43" i="15"/>
  <c r="L43" i="15"/>
  <c r="J43" i="15"/>
  <c r="N42" i="15"/>
  <c r="M42" i="15"/>
  <c r="L42" i="15"/>
  <c r="J42" i="15"/>
  <c r="N41" i="15"/>
  <c r="M41" i="15"/>
  <c r="L41" i="15"/>
  <c r="J41" i="15"/>
  <c r="N40" i="15"/>
  <c r="M40" i="15"/>
  <c r="L40" i="15"/>
  <c r="J40" i="15"/>
  <c r="N39" i="15"/>
  <c r="M39" i="15"/>
  <c r="L39" i="15"/>
  <c r="J39" i="15"/>
  <c r="N38" i="15"/>
  <c r="M38" i="15"/>
  <c r="L38" i="15"/>
  <c r="J38" i="15"/>
  <c r="N37" i="15"/>
  <c r="M37" i="15"/>
  <c r="L37" i="15"/>
  <c r="J37" i="15"/>
  <c r="N36" i="15"/>
  <c r="M36" i="15"/>
  <c r="L36" i="15"/>
  <c r="J36" i="15"/>
  <c r="N35" i="15"/>
  <c r="M35" i="15"/>
  <c r="L35" i="15"/>
  <c r="J35" i="15"/>
  <c r="N34" i="15"/>
  <c r="M34" i="15"/>
  <c r="L34" i="15"/>
  <c r="J34" i="15"/>
  <c r="N33" i="15"/>
  <c r="M33" i="15"/>
  <c r="L33" i="15"/>
  <c r="J33" i="15"/>
  <c r="N32" i="15"/>
  <c r="M32" i="15"/>
  <c r="L32" i="15"/>
  <c r="J32" i="15"/>
  <c r="N31" i="15"/>
  <c r="M31" i="15"/>
  <c r="L31" i="15"/>
  <c r="J31" i="15"/>
  <c r="N30" i="15"/>
  <c r="M30" i="15"/>
  <c r="L30" i="15"/>
  <c r="J30" i="15"/>
  <c r="N29" i="15"/>
  <c r="M29" i="15"/>
  <c r="L29" i="15"/>
  <c r="J29" i="15"/>
  <c r="N28" i="15"/>
  <c r="M28" i="15"/>
  <c r="L28" i="15"/>
  <c r="J28" i="15"/>
  <c r="N27" i="15"/>
  <c r="M27" i="15"/>
  <c r="L27" i="15"/>
  <c r="J27" i="15"/>
  <c r="N26" i="15"/>
  <c r="M26" i="15"/>
  <c r="L26" i="15"/>
  <c r="J26" i="15"/>
  <c r="N25" i="15"/>
  <c r="M25" i="15"/>
  <c r="L25" i="15"/>
  <c r="J25" i="15"/>
  <c r="N24" i="15"/>
  <c r="M24" i="15"/>
  <c r="L24" i="15"/>
  <c r="J24" i="15"/>
  <c r="N23" i="15"/>
  <c r="M23" i="15"/>
  <c r="L23" i="15"/>
  <c r="J23" i="15"/>
  <c r="N22" i="15"/>
  <c r="M22" i="15"/>
  <c r="L22" i="15"/>
  <c r="J22" i="15"/>
  <c r="N21" i="15"/>
  <c r="M21" i="15"/>
  <c r="L21" i="15"/>
  <c r="J21" i="15"/>
  <c r="N20" i="15"/>
  <c r="M20" i="15"/>
  <c r="L20" i="15"/>
  <c r="J20" i="15"/>
  <c r="N19" i="15"/>
  <c r="M19" i="15"/>
  <c r="L19" i="15"/>
  <c r="J19" i="15"/>
  <c r="N18" i="15"/>
  <c r="M18" i="15"/>
  <c r="L18" i="15"/>
  <c r="J18" i="15"/>
  <c r="N17" i="15"/>
  <c r="M17" i="15"/>
  <c r="L17" i="15"/>
  <c r="J17" i="15"/>
  <c r="N16" i="15"/>
  <c r="M16" i="15"/>
  <c r="L16" i="15"/>
  <c r="J16" i="15"/>
  <c r="N15" i="15"/>
  <c r="M15" i="15"/>
  <c r="L15" i="15"/>
  <c r="J15" i="15"/>
  <c r="N14" i="15"/>
  <c r="M14" i="15"/>
  <c r="L14" i="15"/>
  <c r="J14" i="15"/>
  <c r="N13" i="15"/>
  <c r="M13" i="15"/>
  <c r="L13" i="15"/>
  <c r="J13" i="15"/>
  <c r="N12" i="15"/>
  <c r="M12" i="15"/>
  <c r="L12" i="15"/>
  <c r="J12" i="15"/>
  <c r="N11" i="15"/>
  <c r="M11" i="15"/>
  <c r="L11" i="15"/>
  <c r="J11" i="15"/>
  <c r="N10" i="15"/>
  <c r="M10" i="15"/>
  <c r="L10" i="15"/>
  <c r="J10" i="15"/>
  <c r="N9" i="15"/>
  <c r="M9" i="15"/>
  <c r="L9" i="15"/>
  <c r="J9" i="15"/>
  <c r="N8" i="15"/>
  <c r="M8" i="15"/>
  <c r="L8" i="15"/>
  <c r="J8" i="15"/>
  <c r="N7" i="15"/>
  <c r="M7" i="15"/>
  <c r="L7" i="15"/>
  <c r="J7" i="15"/>
  <c r="N6" i="15"/>
  <c r="M6" i="15"/>
  <c r="L6" i="15"/>
  <c r="J6" i="15"/>
  <c r="N5" i="15"/>
  <c r="M5" i="15"/>
  <c r="L5" i="15"/>
  <c r="J5" i="15"/>
  <c r="N4" i="15"/>
  <c r="M4" i="15"/>
  <c r="L4" i="15"/>
  <c r="J4" i="15"/>
  <c r="N3" i="15"/>
  <c r="M3" i="15"/>
  <c r="L3" i="15"/>
  <c r="J3" i="15"/>
  <c r="N2" i="15"/>
  <c r="M2" i="15"/>
  <c r="L2" i="15"/>
  <c r="J2" i="15"/>
  <c r="N46" i="6"/>
  <c r="M46" i="6"/>
  <c r="L46" i="6"/>
  <c r="N45" i="6"/>
  <c r="M45" i="6"/>
  <c r="L45" i="6"/>
  <c r="N44" i="6"/>
  <c r="M44" i="6"/>
  <c r="L44" i="6"/>
  <c r="N43" i="6"/>
  <c r="M43" i="6"/>
  <c r="L43" i="6"/>
  <c r="N42" i="6"/>
  <c r="M42" i="6"/>
  <c r="L42" i="6"/>
  <c r="N41" i="6"/>
  <c r="M41" i="6"/>
  <c r="L41" i="6"/>
  <c r="N40" i="6"/>
  <c r="M40" i="6"/>
  <c r="L40" i="6"/>
  <c r="N39" i="6"/>
  <c r="M39" i="6"/>
  <c r="L39" i="6"/>
  <c r="N38" i="6"/>
  <c r="M38" i="6"/>
  <c r="L38" i="6"/>
  <c r="N37" i="6"/>
  <c r="M37" i="6"/>
  <c r="L37" i="6"/>
  <c r="N36" i="6"/>
  <c r="M36" i="6"/>
  <c r="L36" i="6"/>
  <c r="N35" i="6"/>
  <c r="M35" i="6"/>
  <c r="L35" i="6"/>
  <c r="N34" i="6"/>
  <c r="M34" i="6"/>
  <c r="L34" i="6"/>
  <c r="N33" i="6"/>
  <c r="M33" i="6"/>
  <c r="L33" i="6"/>
  <c r="N32" i="6"/>
  <c r="M32" i="6"/>
  <c r="L32" i="6"/>
  <c r="N31" i="6"/>
  <c r="M31" i="6"/>
  <c r="L31" i="6"/>
  <c r="N30" i="6"/>
  <c r="M30" i="6"/>
  <c r="L30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2" i="6"/>
  <c r="N46" i="14"/>
  <c r="M46" i="14"/>
  <c r="L46" i="14"/>
  <c r="J46" i="14"/>
  <c r="N45" i="14"/>
  <c r="M45" i="14"/>
  <c r="L45" i="14"/>
  <c r="J45" i="14"/>
  <c r="N44" i="14"/>
  <c r="M44" i="14"/>
  <c r="L44" i="14"/>
  <c r="J44" i="14"/>
  <c r="N43" i="14"/>
  <c r="M43" i="14"/>
  <c r="L43" i="14"/>
  <c r="J43" i="14"/>
  <c r="N42" i="14"/>
  <c r="M42" i="14"/>
  <c r="L42" i="14"/>
  <c r="J42" i="14"/>
  <c r="N41" i="14"/>
  <c r="M41" i="14"/>
  <c r="L41" i="14"/>
  <c r="J41" i="14"/>
  <c r="N40" i="14"/>
  <c r="M40" i="14"/>
  <c r="L40" i="14"/>
  <c r="J40" i="14"/>
  <c r="N39" i="14"/>
  <c r="M39" i="14"/>
  <c r="L39" i="14"/>
  <c r="J39" i="14"/>
  <c r="N38" i="14"/>
  <c r="M38" i="14"/>
  <c r="L38" i="14"/>
  <c r="J38" i="14"/>
  <c r="N37" i="14"/>
  <c r="M37" i="14"/>
  <c r="L37" i="14"/>
  <c r="J37" i="14"/>
  <c r="N36" i="14"/>
  <c r="M36" i="14"/>
  <c r="L36" i="14"/>
  <c r="J36" i="14"/>
  <c r="N35" i="14"/>
  <c r="M35" i="14"/>
  <c r="L35" i="14"/>
  <c r="J35" i="14"/>
  <c r="N34" i="14"/>
  <c r="M34" i="14"/>
  <c r="L34" i="14"/>
  <c r="J34" i="14"/>
  <c r="N33" i="14"/>
  <c r="M33" i="14"/>
  <c r="L33" i="14"/>
  <c r="J33" i="14"/>
  <c r="N32" i="14"/>
  <c r="M32" i="14"/>
  <c r="L32" i="14"/>
  <c r="J32" i="14"/>
  <c r="N31" i="14"/>
  <c r="M31" i="14"/>
  <c r="L31" i="14"/>
  <c r="J31" i="14"/>
  <c r="N30" i="14"/>
  <c r="M30" i="14"/>
  <c r="L30" i="14"/>
  <c r="J30" i="14"/>
  <c r="N29" i="14"/>
  <c r="M29" i="14"/>
  <c r="L29" i="14"/>
  <c r="J29" i="14"/>
  <c r="N28" i="14"/>
  <c r="M28" i="14"/>
  <c r="L28" i="14"/>
  <c r="J28" i="14"/>
  <c r="N27" i="14"/>
  <c r="M27" i="14"/>
  <c r="L27" i="14"/>
  <c r="J27" i="14"/>
  <c r="N26" i="14"/>
  <c r="M26" i="14"/>
  <c r="L26" i="14"/>
  <c r="J26" i="14"/>
  <c r="N25" i="14"/>
  <c r="M25" i="14"/>
  <c r="L25" i="14"/>
  <c r="J25" i="14"/>
  <c r="N24" i="14"/>
  <c r="M24" i="14"/>
  <c r="L24" i="14"/>
  <c r="J24" i="14"/>
  <c r="N23" i="14"/>
  <c r="M23" i="14"/>
  <c r="L23" i="14"/>
  <c r="J23" i="14"/>
  <c r="N22" i="14"/>
  <c r="M22" i="14"/>
  <c r="L22" i="14"/>
  <c r="J22" i="14"/>
  <c r="N21" i="14"/>
  <c r="M21" i="14"/>
  <c r="L21" i="14"/>
  <c r="J21" i="14"/>
  <c r="N20" i="14"/>
  <c r="M20" i="14"/>
  <c r="L20" i="14"/>
  <c r="J20" i="14"/>
  <c r="N19" i="14"/>
  <c r="M19" i="14"/>
  <c r="L19" i="14"/>
  <c r="J19" i="14"/>
  <c r="N18" i="14"/>
  <c r="M18" i="14"/>
  <c r="L18" i="14"/>
  <c r="J18" i="14"/>
  <c r="N17" i="14"/>
  <c r="M17" i="14"/>
  <c r="L17" i="14"/>
  <c r="J17" i="14"/>
  <c r="N16" i="14"/>
  <c r="M16" i="14"/>
  <c r="L16" i="14"/>
  <c r="J16" i="14"/>
  <c r="N15" i="14"/>
  <c r="M15" i="14"/>
  <c r="L15" i="14"/>
  <c r="J15" i="14"/>
  <c r="N14" i="14"/>
  <c r="M14" i="14"/>
  <c r="L14" i="14"/>
  <c r="J14" i="14"/>
  <c r="N13" i="14"/>
  <c r="M13" i="14"/>
  <c r="L13" i="14"/>
  <c r="J13" i="14"/>
  <c r="N12" i="14"/>
  <c r="M12" i="14"/>
  <c r="L12" i="14"/>
  <c r="J12" i="14"/>
  <c r="N11" i="14"/>
  <c r="M11" i="14"/>
  <c r="L11" i="14"/>
  <c r="J11" i="14"/>
  <c r="N10" i="14"/>
  <c r="M10" i="14"/>
  <c r="L10" i="14"/>
  <c r="J10" i="14"/>
  <c r="N9" i="14"/>
  <c r="M9" i="14"/>
  <c r="L9" i="14"/>
  <c r="J9" i="14"/>
  <c r="N8" i="14"/>
  <c r="M8" i="14"/>
  <c r="L8" i="14"/>
  <c r="J8" i="14"/>
  <c r="N7" i="14"/>
  <c r="M7" i="14"/>
  <c r="L7" i="14"/>
  <c r="J7" i="14"/>
  <c r="N6" i="14"/>
  <c r="M6" i="14"/>
  <c r="L6" i="14"/>
  <c r="J6" i="14"/>
  <c r="N5" i="14"/>
  <c r="M5" i="14"/>
  <c r="L5" i="14"/>
  <c r="J5" i="14"/>
  <c r="N4" i="14"/>
  <c r="M4" i="14"/>
  <c r="L4" i="14"/>
  <c r="J4" i="14"/>
  <c r="N3" i="14"/>
  <c r="M3" i="14"/>
  <c r="L3" i="14"/>
  <c r="J3" i="14"/>
  <c r="N2" i="14"/>
  <c r="M2" i="14"/>
  <c r="L2" i="14"/>
  <c r="J2" i="14"/>
  <c r="N46" i="5"/>
  <c r="M46" i="5"/>
  <c r="L46" i="5"/>
  <c r="N45" i="5"/>
  <c r="M45" i="5"/>
  <c r="L45" i="5"/>
  <c r="N44" i="5"/>
  <c r="M44" i="5"/>
  <c r="L44" i="5"/>
  <c r="N43" i="5"/>
  <c r="M43" i="5"/>
  <c r="L43" i="5"/>
  <c r="N42" i="5"/>
  <c r="M42" i="5"/>
  <c r="L42" i="5"/>
  <c r="N41" i="5"/>
  <c r="M41" i="5"/>
  <c r="L41" i="5"/>
  <c r="N40" i="5"/>
  <c r="M40" i="5"/>
  <c r="L40" i="5"/>
  <c r="N39" i="5"/>
  <c r="M39" i="5"/>
  <c r="L39" i="5"/>
  <c r="N38" i="5"/>
  <c r="M38" i="5"/>
  <c r="L38" i="5"/>
  <c r="N37" i="5"/>
  <c r="M37" i="5"/>
  <c r="L37" i="5"/>
  <c r="N36" i="5"/>
  <c r="M36" i="5"/>
  <c r="L36" i="5"/>
  <c r="N35" i="5"/>
  <c r="M35" i="5"/>
  <c r="L35" i="5"/>
  <c r="N34" i="5"/>
  <c r="M34" i="5"/>
  <c r="L34" i="5"/>
  <c r="N33" i="5"/>
  <c r="M33" i="5"/>
  <c r="L33" i="5"/>
  <c r="N32" i="5"/>
  <c r="M32" i="5"/>
  <c r="L32" i="5"/>
  <c r="N31" i="5"/>
  <c r="M31" i="5"/>
  <c r="L31" i="5"/>
  <c r="N30" i="5"/>
  <c r="M30" i="5"/>
  <c r="L30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J46" i="13"/>
  <c r="J45" i="13"/>
  <c r="J44" i="13"/>
  <c r="J43" i="13"/>
  <c r="J42" i="13"/>
  <c r="J41" i="13"/>
  <c r="J40" i="13"/>
  <c r="J39" i="13"/>
  <c r="J38" i="13"/>
  <c r="J37" i="13"/>
  <c r="J36" i="13"/>
  <c r="J35" i="13"/>
  <c r="J34" i="13"/>
  <c r="J33" i="13"/>
  <c r="J32" i="13"/>
  <c r="J31" i="13"/>
  <c r="J30" i="13"/>
  <c r="J29" i="13"/>
  <c r="J28" i="13"/>
  <c r="J27" i="13"/>
  <c r="J26" i="13"/>
  <c r="J25" i="13"/>
  <c r="J24" i="13"/>
  <c r="J23" i="13"/>
  <c r="J22" i="13"/>
  <c r="J21" i="13"/>
  <c r="J20" i="13"/>
  <c r="J19" i="13"/>
  <c r="J18" i="13"/>
  <c r="J17" i="13"/>
  <c r="J16" i="13"/>
  <c r="J15" i="13"/>
  <c r="J14" i="13"/>
  <c r="J13" i="13"/>
  <c r="J12" i="13"/>
  <c r="J11" i="13"/>
  <c r="J10" i="13"/>
  <c r="J9" i="13"/>
  <c r="J8" i="13"/>
  <c r="J7" i="13"/>
  <c r="J6" i="13"/>
  <c r="J5" i="13"/>
  <c r="J4" i="13"/>
  <c r="J3" i="13"/>
  <c r="J2" i="13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N46" i="13"/>
  <c r="M46" i="13"/>
  <c r="L46" i="13"/>
  <c r="N45" i="13"/>
  <c r="M45" i="13"/>
  <c r="L45" i="13"/>
  <c r="N44" i="13"/>
  <c r="M44" i="13"/>
  <c r="L44" i="13"/>
  <c r="N43" i="13"/>
  <c r="M43" i="13"/>
  <c r="L43" i="13"/>
  <c r="N42" i="13"/>
  <c r="M42" i="13"/>
  <c r="L42" i="13"/>
  <c r="N41" i="13"/>
  <c r="M41" i="13"/>
  <c r="L41" i="13"/>
  <c r="N40" i="13"/>
  <c r="M40" i="13"/>
  <c r="L40" i="13"/>
  <c r="N39" i="13"/>
  <c r="M39" i="13"/>
  <c r="L39" i="13"/>
  <c r="N38" i="13"/>
  <c r="M38" i="13"/>
  <c r="L38" i="13"/>
  <c r="N37" i="13"/>
  <c r="M37" i="13"/>
  <c r="L37" i="13"/>
  <c r="N36" i="13"/>
  <c r="M36" i="13"/>
  <c r="L36" i="13"/>
  <c r="N35" i="13"/>
  <c r="M35" i="13"/>
  <c r="L35" i="13"/>
  <c r="N34" i="13"/>
  <c r="M34" i="13"/>
  <c r="L34" i="13"/>
  <c r="N33" i="13"/>
  <c r="M33" i="13"/>
  <c r="L33" i="13"/>
  <c r="N32" i="13"/>
  <c r="M32" i="13"/>
  <c r="L32" i="13"/>
  <c r="N31" i="13"/>
  <c r="M31" i="13"/>
  <c r="L31" i="13"/>
  <c r="N30" i="13"/>
  <c r="M30" i="13"/>
  <c r="L30" i="13"/>
  <c r="N29" i="13"/>
  <c r="M29" i="13"/>
  <c r="L29" i="13"/>
  <c r="N28" i="13"/>
  <c r="M28" i="13"/>
  <c r="L28" i="13"/>
  <c r="N27" i="13"/>
  <c r="M27" i="13"/>
  <c r="L27" i="13"/>
  <c r="N26" i="13"/>
  <c r="M26" i="13"/>
  <c r="L26" i="13"/>
  <c r="N25" i="13"/>
  <c r="M25" i="13"/>
  <c r="L25" i="13"/>
  <c r="N24" i="13"/>
  <c r="M24" i="13"/>
  <c r="L24" i="13"/>
  <c r="N23" i="13"/>
  <c r="M23" i="13"/>
  <c r="L23" i="13"/>
  <c r="N22" i="13"/>
  <c r="M22" i="13"/>
  <c r="L22" i="13"/>
  <c r="N21" i="13"/>
  <c r="M21" i="13"/>
  <c r="L21" i="13"/>
  <c r="N20" i="13"/>
  <c r="M20" i="13"/>
  <c r="L20" i="13"/>
  <c r="N19" i="13"/>
  <c r="M19" i="13"/>
  <c r="L19" i="13"/>
  <c r="N18" i="13"/>
  <c r="M18" i="13"/>
  <c r="L18" i="13"/>
  <c r="N17" i="13"/>
  <c r="M17" i="13"/>
  <c r="L17" i="13"/>
  <c r="N16" i="13"/>
  <c r="M16" i="13"/>
  <c r="L16" i="13"/>
  <c r="N15" i="13"/>
  <c r="M15" i="13"/>
  <c r="L15" i="13"/>
  <c r="N14" i="13"/>
  <c r="M14" i="13"/>
  <c r="L14" i="13"/>
  <c r="N13" i="13"/>
  <c r="M13" i="13"/>
  <c r="L13" i="13"/>
  <c r="N12" i="13"/>
  <c r="M12" i="13"/>
  <c r="L12" i="13"/>
  <c r="N11" i="13"/>
  <c r="M11" i="13"/>
  <c r="L11" i="13"/>
  <c r="N10" i="13"/>
  <c r="M10" i="13"/>
  <c r="L10" i="13"/>
  <c r="N9" i="13"/>
  <c r="M9" i="13"/>
  <c r="L9" i="13"/>
  <c r="N8" i="13"/>
  <c r="M8" i="13"/>
  <c r="L8" i="13"/>
  <c r="N7" i="13"/>
  <c r="M7" i="13"/>
  <c r="L7" i="13"/>
  <c r="N6" i="13"/>
  <c r="M6" i="13"/>
  <c r="L6" i="13"/>
  <c r="N5" i="13"/>
  <c r="M5" i="13"/>
  <c r="L5" i="13"/>
  <c r="N4" i="13"/>
  <c r="M4" i="13"/>
  <c r="L4" i="13"/>
  <c r="N3" i="13"/>
  <c r="M3" i="13"/>
  <c r="L3" i="13"/>
  <c r="N2" i="13"/>
  <c r="M2" i="13"/>
  <c r="L2" i="13"/>
  <c r="N46" i="1"/>
  <c r="M46" i="1"/>
  <c r="L46" i="1"/>
  <c r="N45" i="1"/>
  <c r="M45" i="1"/>
  <c r="L45" i="1"/>
  <c r="M40" i="11"/>
  <c r="L40" i="11"/>
  <c r="K40" i="11"/>
  <c r="M39" i="11"/>
  <c r="L39" i="11"/>
  <c r="K39" i="11"/>
  <c r="M38" i="11"/>
  <c r="L38" i="11"/>
  <c r="K38" i="11"/>
  <c r="M37" i="11"/>
  <c r="L37" i="11"/>
  <c r="K37" i="11"/>
  <c r="M36" i="11"/>
  <c r="L36" i="11"/>
  <c r="K36" i="11"/>
  <c r="M35" i="11"/>
  <c r="L35" i="11"/>
  <c r="K35" i="11"/>
  <c r="M34" i="11"/>
  <c r="L34" i="11"/>
  <c r="K34" i="11"/>
  <c r="M33" i="11"/>
  <c r="L33" i="11"/>
  <c r="K33" i="11"/>
  <c r="M32" i="11"/>
  <c r="L32" i="11"/>
  <c r="K32" i="11"/>
  <c r="M31" i="11"/>
  <c r="L31" i="11"/>
  <c r="K31" i="11"/>
  <c r="M30" i="11"/>
  <c r="L30" i="11"/>
  <c r="K30" i="11"/>
  <c r="M29" i="11"/>
  <c r="L29" i="11"/>
  <c r="K29" i="11"/>
  <c r="M28" i="11"/>
  <c r="L28" i="11"/>
  <c r="K28" i="11"/>
  <c r="M27" i="11"/>
  <c r="L27" i="11"/>
  <c r="K27" i="11"/>
  <c r="M26" i="11"/>
  <c r="L26" i="11"/>
  <c r="K26" i="11"/>
  <c r="M25" i="11"/>
  <c r="L25" i="11"/>
  <c r="K25" i="11"/>
  <c r="M24" i="11"/>
  <c r="L24" i="11"/>
  <c r="K24" i="11"/>
  <c r="M23" i="11"/>
  <c r="L23" i="11"/>
  <c r="K23" i="11"/>
  <c r="M22" i="11"/>
  <c r="L22" i="11"/>
  <c r="K22" i="11"/>
  <c r="M21" i="11"/>
  <c r="L21" i="11"/>
  <c r="K21" i="11"/>
  <c r="M20" i="11"/>
  <c r="L20" i="11"/>
  <c r="K20" i="11"/>
  <c r="M19" i="11"/>
  <c r="L19" i="11"/>
  <c r="K19" i="11"/>
  <c r="M18" i="11"/>
  <c r="L18" i="11"/>
  <c r="K18" i="11"/>
  <c r="M17" i="11"/>
  <c r="L17" i="11"/>
  <c r="K17" i="11"/>
  <c r="M16" i="11"/>
  <c r="L16" i="11"/>
  <c r="K16" i="11"/>
  <c r="M15" i="11"/>
  <c r="L15" i="11"/>
  <c r="K15" i="11"/>
  <c r="M14" i="11"/>
  <c r="L14" i="11"/>
  <c r="K14" i="11"/>
  <c r="M13" i="11"/>
  <c r="L13" i="11"/>
  <c r="K13" i="11"/>
  <c r="M12" i="11"/>
  <c r="L12" i="11"/>
  <c r="K12" i="11"/>
  <c r="M11" i="11"/>
  <c r="L11" i="11"/>
  <c r="K11" i="11"/>
  <c r="M10" i="11"/>
  <c r="L10" i="11"/>
  <c r="K10" i="11"/>
  <c r="M9" i="11"/>
  <c r="L9" i="11"/>
  <c r="K9" i="11"/>
  <c r="M8" i="11"/>
  <c r="L8" i="11"/>
  <c r="K8" i="11"/>
  <c r="M7" i="11"/>
  <c r="L7" i="11"/>
  <c r="K7" i="11"/>
  <c r="M6" i="11"/>
  <c r="L6" i="11"/>
  <c r="K6" i="11"/>
  <c r="M5" i="11"/>
  <c r="L5" i="11"/>
  <c r="K5" i="11"/>
  <c r="M4" i="11"/>
  <c r="L4" i="11"/>
  <c r="K4" i="11"/>
  <c r="N44" i="1"/>
  <c r="M44" i="1"/>
  <c r="L44" i="1"/>
  <c r="N43" i="1"/>
  <c r="M43" i="1"/>
  <c r="L43" i="1"/>
  <c r="N42" i="1"/>
  <c r="M42" i="1"/>
  <c r="L42" i="1"/>
  <c r="N41" i="1"/>
  <c r="M41" i="1"/>
  <c r="L41" i="1"/>
  <c r="N40" i="1"/>
  <c r="M40" i="1"/>
  <c r="L40" i="1"/>
  <c r="N39" i="1"/>
  <c r="M39" i="1"/>
  <c r="L39" i="1"/>
  <c r="N38" i="1"/>
  <c r="M38" i="1"/>
  <c r="L38" i="1"/>
  <c r="N37" i="1"/>
  <c r="M37" i="1"/>
  <c r="L37" i="1"/>
  <c r="N36" i="1"/>
  <c r="M36" i="1"/>
  <c r="L36" i="1"/>
  <c r="N35" i="1"/>
  <c r="M35" i="1"/>
  <c r="L35" i="1"/>
  <c r="N34" i="1"/>
  <c r="M34" i="1"/>
  <c r="L34" i="1"/>
  <c r="N33" i="1"/>
  <c r="M33" i="1"/>
  <c r="L33" i="1"/>
  <c r="N32" i="1"/>
  <c r="M32" i="1"/>
  <c r="L32" i="1"/>
  <c r="N31" i="1"/>
  <c r="M31" i="1"/>
  <c r="L31" i="1"/>
  <c r="N30" i="1"/>
  <c r="M30" i="1"/>
  <c r="L30" i="1"/>
  <c r="M2" i="6"/>
  <c r="L2" i="6"/>
  <c r="N29" i="7" l="1"/>
  <c r="M29" i="7"/>
  <c r="L29" i="7"/>
  <c r="N28" i="7"/>
  <c r="M28" i="7"/>
  <c r="L28" i="7"/>
  <c r="N27" i="7"/>
  <c r="M27" i="7"/>
  <c r="L27" i="7"/>
  <c r="N26" i="7"/>
  <c r="M26" i="7"/>
  <c r="L26" i="7"/>
  <c r="N25" i="7"/>
  <c r="M25" i="7"/>
  <c r="L25" i="7"/>
  <c r="N24" i="7"/>
  <c r="M24" i="7"/>
  <c r="L24" i="7"/>
  <c r="N23" i="7"/>
  <c r="M23" i="7"/>
  <c r="L23" i="7"/>
  <c r="N22" i="7"/>
  <c r="M22" i="7"/>
  <c r="L22" i="7"/>
  <c r="N21" i="7"/>
  <c r="M21" i="7"/>
  <c r="L21" i="7"/>
  <c r="N20" i="7"/>
  <c r="M20" i="7"/>
  <c r="L20" i="7"/>
  <c r="N19" i="7"/>
  <c r="M19" i="7"/>
  <c r="L19" i="7"/>
  <c r="N18" i="7"/>
  <c r="M18" i="7"/>
  <c r="L18" i="7"/>
  <c r="N17" i="7"/>
  <c r="M17" i="7"/>
  <c r="L17" i="7"/>
  <c r="N16" i="7"/>
  <c r="M16" i="7"/>
  <c r="L16" i="7"/>
  <c r="N15" i="7"/>
  <c r="M15" i="7"/>
  <c r="L15" i="7"/>
  <c r="N14" i="7"/>
  <c r="M14" i="7"/>
  <c r="L14" i="7"/>
  <c r="N13" i="7"/>
  <c r="M13" i="7"/>
  <c r="L13" i="7"/>
  <c r="N12" i="7"/>
  <c r="M12" i="7"/>
  <c r="L12" i="7"/>
  <c r="N11" i="7"/>
  <c r="M11" i="7"/>
  <c r="L11" i="7"/>
  <c r="N10" i="7"/>
  <c r="M10" i="7"/>
  <c r="L10" i="7"/>
  <c r="N9" i="7"/>
  <c r="M9" i="7"/>
  <c r="L9" i="7"/>
  <c r="N8" i="7"/>
  <c r="M8" i="7"/>
  <c r="L8" i="7"/>
  <c r="N7" i="7"/>
  <c r="M7" i="7"/>
  <c r="L7" i="7"/>
  <c r="N6" i="7"/>
  <c r="M6" i="7"/>
  <c r="L6" i="7"/>
  <c r="N5" i="7"/>
  <c r="M5" i="7"/>
  <c r="L5" i="7"/>
  <c r="N4" i="7"/>
  <c r="M4" i="7"/>
  <c r="L4" i="7"/>
  <c r="N3" i="7"/>
  <c r="M3" i="7"/>
  <c r="L3" i="7"/>
  <c r="N2" i="7"/>
  <c r="M2" i="7"/>
  <c r="L2" i="7"/>
  <c r="N29" i="6"/>
  <c r="M29" i="6"/>
  <c r="L29" i="6"/>
  <c r="N28" i="6"/>
  <c r="M28" i="6"/>
  <c r="L28" i="6"/>
  <c r="N27" i="6"/>
  <c r="M27" i="6"/>
  <c r="L27" i="6"/>
  <c r="N26" i="6"/>
  <c r="M26" i="6"/>
  <c r="L26" i="6"/>
  <c r="N25" i="6"/>
  <c r="M25" i="6"/>
  <c r="L25" i="6"/>
  <c r="N24" i="6"/>
  <c r="M24" i="6"/>
  <c r="L24" i="6"/>
  <c r="N23" i="6"/>
  <c r="M23" i="6"/>
  <c r="L23" i="6"/>
  <c r="N22" i="6"/>
  <c r="M22" i="6"/>
  <c r="L22" i="6"/>
  <c r="N21" i="6"/>
  <c r="M21" i="6"/>
  <c r="L21" i="6"/>
  <c r="N20" i="6"/>
  <c r="M20" i="6"/>
  <c r="L20" i="6"/>
  <c r="N19" i="6"/>
  <c r="M19" i="6"/>
  <c r="L19" i="6"/>
  <c r="N18" i="6"/>
  <c r="M18" i="6"/>
  <c r="L18" i="6"/>
  <c r="N17" i="6"/>
  <c r="M17" i="6"/>
  <c r="L17" i="6"/>
  <c r="N16" i="6"/>
  <c r="M16" i="6"/>
  <c r="L16" i="6"/>
  <c r="N15" i="6"/>
  <c r="M15" i="6"/>
  <c r="L15" i="6"/>
  <c r="N14" i="6"/>
  <c r="M14" i="6"/>
  <c r="L14" i="6"/>
  <c r="N13" i="6"/>
  <c r="M13" i="6"/>
  <c r="L13" i="6"/>
  <c r="N12" i="6"/>
  <c r="M12" i="6"/>
  <c r="L12" i="6"/>
  <c r="N11" i="6"/>
  <c r="M11" i="6"/>
  <c r="L11" i="6"/>
  <c r="N10" i="6"/>
  <c r="M10" i="6"/>
  <c r="L10" i="6"/>
  <c r="N9" i="6"/>
  <c r="M9" i="6"/>
  <c r="L9" i="6"/>
  <c r="N8" i="6"/>
  <c r="M8" i="6"/>
  <c r="L8" i="6"/>
  <c r="N7" i="6"/>
  <c r="M7" i="6"/>
  <c r="L7" i="6"/>
  <c r="N6" i="6"/>
  <c r="M6" i="6"/>
  <c r="L6" i="6"/>
  <c r="N5" i="6"/>
  <c r="M5" i="6"/>
  <c r="L5" i="6"/>
  <c r="N4" i="6"/>
  <c r="M4" i="6"/>
  <c r="L4" i="6"/>
  <c r="N3" i="6"/>
  <c r="M3" i="6"/>
  <c r="L3" i="6"/>
  <c r="N2" i="6"/>
  <c r="N29" i="5"/>
  <c r="M29" i="5"/>
  <c r="L29" i="5"/>
  <c r="N28" i="5"/>
  <c r="M28" i="5"/>
  <c r="L28" i="5"/>
  <c r="N27" i="5"/>
  <c r="M27" i="5"/>
  <c r="L27" i="5"/>
  <c r="N26" i="5"/>
  <c r="M26" i="5"/>
  <c r="L26" i="5"/>
  <c r="N25" i="5"/>
  <c r="M25" i="5"/>
  <c r="L25" i="5"/>
  <c r="N24" i="5"/>
  <c r="M24" i="5"/>
  <c r="L24" i="5"/>
  <c r="N23" i="5"/>
  <c r="M23" i="5"/>
  <c r="L23" i="5"/>
  <c r="N22" i="5"/>
  <c r="M22" i="5"/>
  <c r="L22" i="5"/>
  <c r="N21" i="5"/>
  <c r="M21" i="5"/>
  <c r="L21" i="5"/>
  <c r="N20" i="5"/>
  <c r="M20" i="5"/>
  <c r="L20" i="5"/>
  <c r="N19" i="5"/>
  <c r="M19" i="5"/>
  <c r="L19" i="5"/>
  <c r="N18" i="5"/>
  <c r="M18" i="5"/>
  <c r="L18" i="5"/>
  <c r="N17" i="5"/>
  <c r="M17" i="5"/>
  <c r="L17" i="5"/>
  <c r="N16" i="5"/>
  <c r="M16" i="5"/>
  <c r="L16" i="5"/>
  <c r="N15" i="5"/>
  <c r="M15" i="5"/>
  <c r="L15" i="5"/>
  <c r="N14" i="5"/>
  <c r="M14" i="5"/>
  <c r="L14" i="5"/>
  <c r="N13" i="5"/>
  <c r="M13" i="5"/>
  <c r="L13" i="5"/>
  <c r="N12" i="5"/>
  <c r="M12" i="5"/>
  <c r="L12" i="5"/>
  <c r="N11" i="5"/>
  <c r="M11" i="5"/>
  <c r="L11" i="5"/>
  <c r="N10" i="5"/>
  <c r="M10" i="5"/>
  <c r="L10" i="5"/>
  <c r="N9" i="5"/>
  <c r="M9" i="5"/>
  <c r="L9" i="5"/>
  <c r="N8" i="5"/>
  <c r="M8" i="5"/>
  <c r="L8" i="5"/>
  <c r="N7" i="5"/>
  <c r="M7" i="5"/>
  <c r="L7" i="5"/>
  <c r="N6" i="5"/>
  <c r="M6" i="5"/>
  <c r="L6" i="5"/>
  <c r="N5" i="5"/>
  <c r="M5" i="5"/>
  <c r="L5" i="5"/>
  <c r="N4" i="5"/>
  <c r="M4" i="5"/>
  <c r="L4" i="5"/>
  <c r="N3" i="5"/>
  <c r="M3" i="5"/>
  <c r="L3" i="5"/>
  <c r="N2" i="5"/>
  <c r="M2" i="5"/>
  <c r="L2" i="5"/>
  <c r="N29" i="1"/>
  <c r="M29" i="1"/>
  <c r="L29" i="1"/>
  <c r="N28" i="1"/>
  <c r="M28" i="1"/>
  <c r="L28" i="1"/>
  <c r="N27" i="1"/>
  <c r="M27" i="1"/>
  <c r="L27" i="1"/>
  <c r="N26" i="1"/>
  <c r="M26" i="1"/>
  <c r="L26" i="1"/>
  <c r="N25" i="1"/>
  <c r="M25" i="1"/>
  <c r="L25" i="1"/>
  <c r="N24" i="1"/>
  <c r="M24" i="1"/>
  <c r="L24" i="1"/>
  <c r="N23" i="1"/>
  <c r="M23" i="1"/>
  <c r="L23" i="1"/>
  <c r="N22" i="1"/>
  <c r="M22" i="1"/>
  <c r="L22" i="1"/>
  <c r="N21" i="1"/>
  <c r="M21" i="1"/>
  <c r="L21" i="1"/>
  <c r="N20" i="1"/>
  <c r="M20" i="1"/>
  <c r="L20" i="1"/>
  <c r="N19" i="1"/>
  <c r="M19" i="1"/>
  <c r="L19" i="1"/>
  <c r="N18" i="1"/>
  <c r="M18" i="1"/>
  <c r="L18" i="1"/>
  <c r="N17" i="1"/>
  <c r="M17" i="1"/>
  <c r="L17" i="1"/>
  <c r="N16" i="1"/>
  <c r="M16" i="1"/>
  <c r="L16" i="1"/>
  <c r="N15" i="1"/>
  <c r="M15" i="1"/>
  <c r="L15" i="1"/>
  <c r="N14" i="1"/>
  <c r="M14" i="1"/>
  <c r="L14" i="1"/>
  <c r="N13" i="1"/>
  <c r="M13" i="1"/>
  <c r="L13" i="1"/>
  <c r="N12" i="1"/>
  <c r="M12" i="1"/>
  <c r="L12" i="1"/>
  <c r="N11" i="1"/>
  <c r="M11" i="1"/>
  <c r="L11" i="1"/>
  <c r="N10" i="1"/>
  <c r="M10" i="1"/>
  <c r="L10" i="1"/>
  <c r="N9" i="1"/>
  <c r="M9" i="1"/>
  <c r="L9" i="1"/>
  <c r="N8" i="1"/>
  <c r="M8" i="1"/>
  <c r="L8" i="1"/>
  <c r="N7" i="1"/>
  <c r="M7" i="1"/>
  <c r="L7" i="1"/>
  <c r="N6" i="1"/>
  <c r="M6" i="1"/>
  <c r="L6" i="1"/>
  <c r="N5" i="1"/>
  <c r="M5" i="1"/>
  <c r="L5" i="1"/>
  <c r="N4" i="1"/>
  <c r="M4" i="1"/>
  <c r="L4" i="1"/>
  <c r="N3" i="1"/>
  <c r="M3" i="1"/>
  <c r="L3" i="1"/>
  <c r="N2" i="1"/>
  <c r="M2" i="1"/>
  <c r="L2" i="1"/>
</calcChain>
</file>

<file path=xl/sharedStrings.xml><?xml version="1.0" encoding="utf-8"?>
<sst xmlns="http://schemas.openxmlformats.org/spreadsheetml/2006/main" count="199" uniqueCount="68">
  <si>
    <t>gadgets</t>
  </si>
  <si>
    <t>sg</t>
  </si>
  <si>
    <t>sg+mapping</t>
  </si>
  <si>
    <t>do</t>
  </si>
  <si>
    <t>do+mapping</t>
  </si>
  <si>
    <t>dynamic ordering</t>
  </si>
  <si>
    <t>sg (ms)</t>
  </si>
  <si>
    <t>sgm (ms)</t>
  </si>
  <si>
    <t>do (ms)</t>
  </si>
  <si>
    <t>dom (ms)</t>
  </si>
  <si>
    <t>backend</t>
  </si>
  <si>
    <t>cx do</t>
  </si>
  <si>
    <t>cx dom</t>
  </si>
  <si>
    <t>BeH2_BK_sto3g</t>
  </si>
  <si>
    <t>guadalupe</t>
  </si>
  <si>
    <t>BeH2_JW_sto3g</t>
  </si>
  <si>
    <t>BeH2_P_sto3g</t>
  </si>
  <si>
    <t>mumbai</t>
  </si>
  <si>
    <t>C2_P_sto3g</t>
  </si>
  <si>
    <t>CH2_BK_sto3g</t>
  </si>
  <si>
    <t>CH2_JW_sto3g</t>
  </si>
  <si>
    <t>CH2_P_sto3g</t>
  </si>
  <si>
    <t>H2O_BK_sto3g</t>
  </si>
  <si>
    <t>H2O_JW_sto3g</t>
  </si>
  <si>
    <t>H2O_P_sto3g</t>
  </si>
  <si>
    <t>H2_BK_631g</t>
  </si>
  <si>
    <t>H2_BK_sto3g</t>
  </si>
  <si>
    <t>quito</t>
  </si>
  <si>
    <t>H2_JW_631g</t>
  </si>
  <si>
    <t>H2_JW_sto3g</t>
  </si>
  <si>
    <t>H2_P_631g</t>
  </si>
  <si>
    <t>nairobi</t>
  </si>
  <si>
    <t>H2_P_sto3g</t>
  </si>
  <si>
    <t>H4_BK_631g</t>
  </si>
  <si>
    <t>H4_BK_sto3g</t>
  </si>
  <si>
    <t>H4_JW_631g</t>
  </si>
  <si>
    <t>H4_JW_sto3g</t>
  </si>
  <si>
    <t>H4_P_631g</t>
  </si>
  <si>
    <t>H4_P_sto3g</t>
  </si>
  <si>
    <t>H8_BK_sto3g</t>
  </si>
  <si>
    <t>H8_JW_sto3g</t>
  </si>
  <si>
    <t>HCl_BK_sto3g</t>
  </si>
  <si>
    <t>HCl_JW_sto3g</t>
  </si>
  <si>
    <t>LiH_BK_631g</t>
  </si>
  <si>
    <t>LiH_BK_sto3g</t>
  </si>
  <si>
    <t>LiH_JW_631g</t>
  </si>
  <si>
    <t>LiH_JW_sto3g</t>
  </si>
  <si>
    <t>LiH_P_sto3g</t>
  </si>
  <si>
    <t>N2_P_sto3g</t>
  </si>
  <si>
    <t>NH3_BK_sto3g</t>
  </si>
  <si>
    <t>NH3_JW_sto3g</t>
  </si>
  <si>
    <t>NH_BK_sto3g</t>
  </si>
  <si>
    <t>NH_JW_sto3g</t>
  </si>
  <si>
    <t>NH_P_sto3g</t>
  </si>
  <si>
    <t>do-&gt;dom</t>
  </si>
  <si>
    <t>molecule</t>
  </si>
  <si>
    <t>qubits</t>
  </si>
  <si>
    <t>do + mapping</t>
  </si>
  <si>
    <t>cx lo</t>
  </si>
  <si>
    <t>lo-&gt;do</t>
  </si>
  <si>
    <t>lexicographical ordering</t>
  </si>
  <si>
    <t>lo + mapping</t>
  </si>
  <si>
    <t>pauli strings</t>
  </si>
  <si>
    <t>time do</t>
  </si>
  <si>
    <t>time diff</t>
  </si>
  <si>
    <t>time lo</t>
  </si>
  <si>
    <t>sgm-dom-time</t>
  </si>
  <si>
    <t>sgm-dom time%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</si>
</sst>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9" fontId="0" fillId="0" borderId="0" xfId="1" applyFont="1"/>
    <xf numFmtId="9" fontId="18" fillId="0" borderId="0" xfId="1" applyFont="1"/>
    <xf numFmtId="0" fontId="0" fillId="0" borderId="10" xfId="0" applyBorder="1"/>
    <xf numFmtId="0" fontId="0" fillId="0" borderId="10" xfId="0" applyBorder="1" applyAlignment="1">
      <alignment horizontal="right"/>
    </xf>
    <xf numFmtId="9" fontId="19" fillId="0" borderId="0" xfId="1" applyFont="1"/>
    <xf numFmtId="0" fontId="18" fillId="0" borderId="0" xfId="0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Line-6 (cnot count relative to lexicographical ordering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line6!$K$1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line6!$A$2:$A$44</c:f>
              <c:numCache>
                <c:formatCode>General</c:formatCode>
                <c:ptCount val="4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</c:numCache>
            </c:numRef>
          </c:cat>
          <c:val>
            <c:numRef>
              <c:f>line6!$K$2:$K$44</c:f>
              <c:numCache>
                <c:formatCode>General</c:formatCode>
                <c:ptCount val="4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66-8949-B5B1-E2CE330577D2}"/>
            </c:ext>
          </c:extLst>
        </c:ser>
        <c:ser>
          <c:idx val="1"/>
          <c:order val="1"/>
          <c:tx>
            <c:strRef>
              <c:f>line6!$L$1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line6!$A$2:$A$44</c:f>
              <c:numCache>
                <c:formatCode>General</c:formatCode>
                <c:ptCount val="4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</c:numCache>
            </c:numRef>
          </c:cat>
          <c:val>
            <c:numRef>
              <c:f>line6!$L$2:$L$44</c:f>
              <c:numCache>
                <c:formatCode>0%</c:formatCode>
                <c:ptCount val="43"/>
                <c:pt idx="0">
                  <c:v>0.73529411764705888</c:v>
                </c:pt>
                <c:pt idx="1">
                  <c:v>0.83333333333333326</c:v>
                </c:pt>
                <c:pt idx="2">
                  <c:v>0.87002652519893886</c:v>
                </c:pt>
                <c:pt idx="3">
                  <c:v>0.87551867219917012</c:v>
                </c:pt>
                <c:pt idx="4">
                  <c:v>0.9</c:v>
                </c:pt>
                <c:pt idx="5">
                  <c:v>0.92914653784219003</c:v>
                </c:pt>
                <c:pt idx="6">
                  <c:v>0.93053545586107089</c:v>
                </c:pt>
                <c:pt idx="7">
                  <c:v>0.94793057409879833</c:v>
                </c:pt>
                <c:pt idx="8">
                  <c:v>0.94697903822441432</c:v>
                </c:pt>
                <c:pt idx="9">
                  <c:v>0.95348837209302328</c:v>
                </c:pt>
                <c:pt idx="10">
                  <c:v>0.95874049945711182</c:v>
                </c:pt>
                <c:pt idx="11">
                  <c:v>0.96028513238289204</c:v>
                </c:pt>
                <c:pt idx="12">
                  <c:v>0.95098963242224333</c:v>
                </c:pt>
                <c:pt idx="13">
                  <c:v>0.96428571428571419</c:v>
                </c:pt>
                <c:pt idx="14">
                  <c:v>0.96006944444444442</c:v>
                </c:pt>
                <c:pt idx="15">
                  <c:v>0.96725440806045349</c:v>
                </c:pt>
                <c:pt idx="16">
                  <c:v>0.96092503987240829</c:v>
                </c:pt>
                <c:pt idx="17">
                  <c:v>0.97179878048780499</c:v>
                </c:pt>
                <c:pt idx="18">
                  <c:v>0.96840558412931677</c:v>
                </c:pt>
                <c:pt idx="19">
                  <c:v>0.96946022727272718</c:v>
                </c:pt>
                <c:pt idx="20">
                  <c:v>0.97896950578338593</c:v>
                </c:pt>
                <c:pt idx="21">
                  <c:v>0.97844463229078615</c:v>
                </c:pt>
                <c:pt idx="22">
                  <c:v>0.97984161267098624</c:v>
                </c:pt>
                <c:pt idx="23">
                  <c:v>0.97996242955541646</c:v>
                </c:pt>
                <c:pt idx="24">
                  <c:v>0.97869396790260099</c:v>
                </c:pt>
                <c:pt idx="25">
                  <c:v>0.98484848484848475</c:v>
                </c:pt>
                <c:pt idx="26">
                  <c:v>0.9935661764705882</c:v>
                </c:pt>
                <c:pt idx="27">
                  <c:v>0.98504003371260007</c:v>
                </c:pt>
                <c:pt idx="28">
                  <c:v>0.99160055996266916</c:v>
                </c:pt>
                <c:pt idx="29">
                  <c:v>0.99218158890290031</c:v>
                </c:pt>
                <c:pt idx="30">
                  <c:v>0.99024756189047258</c:v>
                </c:pt>
                <c:pt idx="31">
                  <c:v>0.99403183023872688</c:v>
                </c:pt>
                <c:pt idx="32">
                  <c:v>0.98882824492580601</c:v>
                </c:pt>
                <c:pt idx="33">
                  <c:v>0.99271958666040383</c:v>
                </c:pt>
                <c:pt idx="34">
                  <c:v>0.99354417525025396</c:v>
                </c:pt>
                <c:pt idx="35">
                  <c:v>0.9926888708367182</c:v>
                </c:pt>
                <c:pt idx="36">
                  <c:v>0.99630337794773749</c:v>
                </c:pt>
                <c:pt idx="37">
                  <c:v>0.99473906996432238</c:v>
                </c:pt>
                <c:pt idx="38">
                  <c:v>0.99152786582905894</c:v>
                </c:pt>
                <c:pt idx="39">
                  <c:v>0.99429204765863122</c:v>
                </c:pt>
                <c:pt idx="40">
                  <c:v>0.99367861885790165</c:v>
                </c:pt>
                <c:pt idx="41">
                  <c:v>0.9961516753040176</c:v>
                </c:pt>
                <c:pt idx="42">
                  <c:v>0.99505855611009542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66-8949-B5B1-E2CE330577D2}"/>
            </c:ext>
          </c:extLst>
        </c:ser>
        <c:ser>
          <c:idx val="2"/>
          <c:order val="2"/>
          <c:tx>
            <c:strRef>
              <c:f>line6!$M$1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line6!$A$2:$A$44</c:f>
              <c:numCache>
                <c:formatCode>General</c:formatCode>
                <c:ptCount val="4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</c:numCache>
            </c:numRef>
          </c:cat>
          <c:val>
            <c:numRef>
              <c:f>line6!$M$2:$M$44</c:f>
              <c:numCache>
                <c:formatCode>0%</c:formatCode>
                <c:ptCount val="43"/>
                <c:pt idx="0">
                  <c:v>0.98235294117647054</c:v>
                </c:pt>
                <c:pt idx="1">
                  <c:v>0.90217391304347816</c:v>
                </c:pt>
                <c:pt idx="2">
                  <c:v>0.85411140583554379</c:v>
                </c:pt>
                <c:pt idx="3">
                  <c:v>0.82572614107883802</c:v>
                </c:pt>
                <c:pt idx="4">
                  <c:v>0.81818181818181823</c:v>
                </c:pt>
                <c:pt idx="5">
                  <c:v>0.80193236714975835</c:v>
                </c:pt>
                <c:pt idx="6">
                  <c:v>0.7858176555716353</c:v>
                </c:pt>
                <c:pt idx="7">
                  <c:v>0.7877169559412549</c:v>
                </c:pt>
                <c:pt idx="8">
                  <c:v>0.77558569667077681</c:v>
                </c:pt>
                <c:pt idx="9">
                  <c:v>0.75813953488372099</c:v>
                </c:pt>
                <c:pt idx="10">
                  <c:v>0.74701411509229099</c:v>
                </c:pt>
                <c:pt idx="11">
                  <c:v>0.74032586558044811</c:v>
                </c:pt>
                <c:pt idx="12">
                  <c:v>0.7247879359095194</c:v>
                </c:pt>
                <c:pt idx="13">
                  <c:v>0.72344322344322343</c:v>
                </c:pt>
                <c:pt idx="14">
                  <c:v>0.71961805555555558</c:v>
                </c:pt>
                <c:pt idx="15">
                  <c:v>0.70864819479429064</c:v>
                </c:pt>
                <c:pt idx="16">
                  <c:v>0.69776714513556615</c:v>
                </c:pt>
                <c:pt idx="17">
                  <c:v>0.69893292682926833</c:v>
                </c:pt>
                <c:pt idx="18">
                  <c:v>0.68699485672299787</c:v>
                </c:pt>
                <c:pt idx="19">
                  <c:v>0.68892045454545447</c:v>
                </c:pt>
                <c:pt idx="20">
                  <c:v>0.63985278654048372</c:v>
                </c:pt>
                <c:pt idx="21">
                  <c:v>0.61327134404057482</c:v>
                </c:pt>
                <c:pt idx="22">
                  <c:v>0.59539236861051115</c:v>
                </c:pt>
                <c:pt idx="23">
                  <c:v>0.57858484658735132</c:v>
                </c:pt>
                <c:pt idx="24">
                  <c:v>0.5655783065855009</c:v>
                </c:pt>
                <c:pt idx="25">
                  <c:v>0.55067064083457518</c:v>
                </c:pt>
                <c:pt idx="26">
                  <c:v>0.55009191176470595</c:v>
                </c:pt>
                <c:pt idx="27">
                  <c:v>0.53392330383480824</c:v>
                </c:pt>
                <c:pt idx="28">
                  <c:v>0.50489967335510966</c:v>
                </c:pt>
                <c:pt idx="29">
                  <c:v>0.4834804539722572</c:v>
                </c:pt>
                <c:pt idx="30">
                  <c:v>0.46415175222377025</c:v>
                </c:pt>
                <c:pt idx="31">
                  <c:v>0.45737021599090572</c:v>
                </c:pt>
                <c:pt idx="32">
                  <c:v>0.4464438001023367</c:v>
                </c:pt>
                <c:pt idx="33">
                  <c:v>0.44026929700955059</c:v>
                </c:pt>
                <c:pt idx="34">
                  <c:v>0.43536921514580013</c:v>
                </c:pt>
                <c:pt idx="35">
                  <c:v>0.42973192526401294</c:v>
                </c:pt>
                <c:pt idx="36">
                  <c:v>0.42262587635436583</c:v>
                </c:pt>
                <c:pt idx="37">
                  <c:v>0.42075346193384527</c:v>
                </c:pt>
                <c:pt idx="38">
                  <c:v>0.41738228344187661</c:v>
                </c:pt>
                <c:pt idx="39">
                  <c:v>0.41479634247714048</c:v>
                </c:pt>
                <c:pt idx="40">
                  <c:v>0.41088977423638778</c:v>
                </c:pt>
                <c:pt idx="41">
                  <c:v>0.40905125968495049</c:v>
                </c:pt>
                <c:pt idx="42">
                  <c:v>0.40589020111676632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66-8949-B5B1-E2CE330577D2}"/>
            </c:ext>
          </c:extLst>
        </c:ser>
        <c:ser>
          <c:idx val="3"/>
          <c:order val="3"/>
          <c:tx>
            <c:strRef>
              <c:f>line6!$N$1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line6!$A$2:$A$44</c:f>
              <c:numCache>
                <c:formatCode>General</c:formatCode>
                <c:ptCount val="4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</c:numCache>
            </c:numRef>
          </c:cat>
          <c:val>
            <c:numRef>
              <c:f>line6!$N$2:$N$44</c:f>
              <c:numCache>
                <c:formatCode>0%</c:formatCode>
                <c:ptCount val="43"/>
                <c:pt idx="0">
                  <c:v>0.6470588235294118</c:v>
                </c:pt>
                <c:pt idx="1">
                  <c:v>0.71014492753623193</c:v>
                </c:pt>
                <c:pt idx="2">
                  <c:v>0.71087533156498672</c:v>
                </c:pt>
                <c:pt idx="3">
                  <c:v>0.72614107883817425</c:v>
                </c:pt>
                <c:pt idx="4">
                  <c:v>0.7345454545454545</c:v>
                </c:pt>
                <c:pt idx="5">
                  <c:v>0.75523349436392906</c:v>
                </c:pt>
                <c:pt idx="6">
                  <c:v>0.7496382054992764</c:v>
                </c:pt>
                <c:pt idx="7">
                  <c:v>0.74232309746328429</c:v>
                </c:pt>
                <c:pt idx="8">
                  <c:v>0.73119605425400747</c:v>
                </c:pt>
                <c:pt idx="9">
                  <c:v>0.73372093023255813</c:v>
                </c:pt>
                <c:pt idx="10">
                  <c:v>0.73398479913137893</c:v>
                </c:pt>
                <c:pt idx="11">
                  <c:v>0.71384928716904272</c:v>
                </c:pt>
                <c:pt idx="12">
                  <c:v>0.70688030160226201</c:v>
                </c:pt>
                <c:pt idx="13">
                  <c:v>0.70421245421245426</c:v>
                </c:pt>
                <c:pt idx="14">
                  <c:v>0.69531249999999989</c:v>
                </c:pt>
                <c:pt idx="15">
                  <c:v>0.69437447523089846</c:v>
                </c:pt>
                <c:pt idx="16">
                  <c:v>0.68102073365231264</c:v>
                </c:pt>
                <c:pt idx="17">
                  <c:v>0.6890243902439025</c:v>
                </c:pt>
                <c:pt idx="18">
                  <c:v>0.68258633357825138</c:v>
                </c:pt>
                <c:pt idx="19">
                  <c:v>0.67400568181818177</c:v>
                </c:pt>
                <c:pt idx="20">
                  <c:v>0.63406940063091488</c:v>
                </c:pt>
                <c:pt idx="21">
                  <c:v>0.60735418427726118</c:v>
                </c:pt>
                <c:pt idx="22">
                  <c:v>0.59323254139668824</c:v>
                </c:pt>
                <c:pt idx="23">
                  <c:v>0.57921102066374452</c:v>
                </c:pt>
                <c:pt idx="24">
                  <c:v>0.56391809629219702</c:v>
                </c:pt>
                <c:pt idx="25">
                  <c:v>0.55141579731743662</c:v>
                </c:pt>
                <c:pt idx="26">
                  <c:v>0.54434742647058831</c:v>
                </c:pt>
                <c:pt idx="27">
                  <c:v>0.53476611883691527</c:v>
                </c:pt>
                <c:pt idx="28">
                  <c:v>0.50178876963757979</c:v>
                </c:pt>
                <c:pt idx="29">
                  <c:v>0.48045397225725095</c:v>
                </c:pt>
                <c:pt idx="30">
                  <c:v>0.46575929696709895</c:v>
                </c:pt>
                <c:pt idx="31">
                  <c:v>0.45651762031072379</c:v>
                </c:pt>
                <c:pt idx="32">
                  <c:v>0.44584683609073855</c:v>
                </c:pt>
                <c:pt idx="33">
                  <c:v>0.44191326131204006</c:v>
                </c:pt>
                <c:pt idx="34">
                  <c:v>0.43493399100536784</c:v>
                </c:pt>
                <c:pt idx="35">
                  <c:v>0.42925805578120768</c:v>
                </c:pt>
                <c:pt idx="36">
                  <c:v>0.42326322498406632</c:v>
                </c:pt>
                <c:pt idx="37">
                  <c:v>0.42087440285420569</c:v>
                </c:pt>
                <c:pt idx="38">
                  <c:v>0.41634487925767966</c:v>
                </c:pt>
                <c:pt idx="39">
                  <c:v>0.4154613466334165</c:v>
                </c:pt>
                <c:pt idx="40">
                  <c:v>0.40988047808764944</c:v>
                </c:pt>
                <c:pt idx="41">
                  <c:v>0.41012879059982549</c:v>
                </c:pt>
                <c:pt idx="42">
                  <c:v>0.40658200326135291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66-8949-B5B1-E2CE33057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Line-6 (cnot depth relative to lexicographical ordering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'line6 depth'!$K$1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'line6 depth'!$A$2:$A$44</c:f>
              <c:numCache>
                <c:formatCode>General</c:formatCode>
                <c:ptCount val="4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</c:numCache>
            </c:numRef>
          </c:cat>
          <c:val>
            <c:numRef>
              <c:f>'line6 depth'!$K$2:$K$44</c:f>
              <c:numCache>
                <c:formatCode>General</c:formatCode>
                <c:ptCount val="4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68-1B4A-BC9D-B924C5C3B2AD}"/>
            </c:ext>
          </c:extLst>
        </c:ser>
        <c:ser>
          <c:idx val="1"/>
          <c:order val="1"/>
          <c:tx>
            <c:strRef>
              <c:f>'line6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'line6 depth'!$A$2:$A$44</c:f>
              <c:numCache>
                <c:formatCode>General</c:formatCode>
                <c:ptCount val="4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</c:numCache>
            </c:numRef>
          </c:cat>
          <c:val>
            <c:numRef>
              <c:f>'line6 depth'!$L$2:$L$44</c:f>
              <c:numCache>
                <c:formatCode>0%</c:formatCode>
                <c:ptCount val="43"/>
                <c:pt idx="0">
                  <c:v>0.74242424242424254</c:v>
                </c:pt>
                <c:pt idx="1">
                  <c:v>0.86069651741293529</c:v>
                </c:pt>
                <c:pt idx="2">
                  <c:v>0.91287878787878796</c:v>
                </c:pt>
                <c:pt idx="3">
                  <c:v>0.90390390390390407</c:v>
                </c:pt>
                <c:pt idx="4">
                  <c:v>0.92063492063492058</c:v>
                </c:pt>
                <c:pt idx="5">
                  <c:v>0.94835680751173701</c:v>
                </c:pt>
                <c:pt idx="6">
                  <c:v>0.95735607675906187</c:v>
                </c:pt>
                <c:pt idx="7">
                  <c:v>0.96463654223968576</c:v>
                </c:pt>
                <c:pt idx="8">
                  <c:v>0.9745454545454546</c:v>
                </c:pt>
                <c:pt idx="9">
                  <c:v>0.97255574614065188</c:v>
                </c:pt>
                <c:pt idx="10">
                  <c:v>0.9695024077046549</c:v>
                </c:pt>
                <c:pt idx="11">
                  <c:v>0.97586726998491713</c:v>
                </c:pt>
                <c:pt idx="12">
                  <c:v>0.96801112656467303</c:v>
                </c:pt>
                <c:pt idx="13">
                  <c:v>0.98231292517006807</c:v>
                </c:pt>
                <c:pt idx="14">
                  <c:v>0.97183098591549311</c:v>
                </c:pt>
                <c:pt idx="15">
                  <c:v>0.97780517879161533</c:v>
                </c:pt>
                <c:pt idx="16">
                  <c:v>0.96838407494145196</c:v>
                </c:pt>
                <c:pt idx="17">
                  <c:v>0.98092031425364767</c:v>
                </c:pt>
                <c:pt idx="18">
                  <c:v>0.98264642082429488</c:v>
                </c:pt>
                <c:pt idx="19">
                  <c:v>0.97907949790794979</c:v>
                </c:pt>
                <c:pt idx="20">
                  <c:v>0.98619631901840488</c:v>
                </c:pt>
                <c:pt idx="21">
                  <c:v>0.98650306748466265</c:v>
                </c:pt>
                <c:pt idx="22">
                  <c:v>0.98347960764068154</c:v>
                </c:pt>
                <c:pt idx="23">
                  <c:v>0.98573975044563267</c:v>
                </c:pt>
                <c:pt idx="24">
                  <c:v>0.98663522012578619</c:v>
                </c:pt>
                <c:pt idx="25">
                  <c:v>0.98844537815126043</c:v>
                </c:pt>
                <c:pt idx="26">
                  <c:v>1</c:v>
                </c:pt>
                <c:pt idx="27">
                  <c:v>0.98910482921083609</c:v>
                </c:pt>
                <c:pt idx="28">
                  <c:v>0.9955051369863015</c:v>
                </c:pt>
                <c:pt idx="29">
                  <c:v>0.99230637715848868</c:v>
                </c:pt>
                <c:pt idx="30">
                  <c:v>0.99264705882352933</c:v>
                </c:pt>
                <c:pt idx="31">
                  <c:v>0.99709192059678853</c:v>
                </c:pt>
                <c:pt idx="32">
                  <c:v>0.98947725729803127</c:v>
                </c:pt>
                <c:pt idx="33">
                  <c:v>0.99246179264766632</c:v>
                </c:pt>
                <c:pt idx="34">
                  <c:v>0.9945729791488146</c:v>
                </c:pt>
                <c:pt idx="35">
                  <c:v>0.99503281887528816</c:v>
                </c:pt>
                <c:pt idx="36">
                  <c:v>0.99775505113494634</c:v>
                </c:pt>
                <c:pt idx="37">
                  <c:v>0.99434540171208663</c:v>
                </c:pt>
                <c:pt idx="38">
                  <c:v>0.99439084586044424</c:v>
                </c:pt>
                <c:pt idx="39">
                  <c:v>0.99455626387794582</c:v>
                </c:pt>
                <c:pt idx="40">
                  <c:v>0.99479130971146601</c:v>
                </c:pt>
                <c:pt idx="41">
                  <c:v>0.99683126485344598</c:v>
                </c:pt>
                <c:pt idx="42">
                  <c:v>0.99701435649853887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68-1B4A-BC9D-B924C5C3B2AD}"/>
            </c:ext>
          </c:extLst>
        </c:ser>
        <c:ser>
          <c:idx val="2"/>
          <c:order val="2"/>
          <c:tx>
            <c:strRef>
              <c:f>'line6 depth'!$M$1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'line6 depth'!$A$2:$A$44</c:f>
              <c:numCache>
                <c:formatCode>General</c:formatCode>
                <c:ptCount val="4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</c:numCache>
            </c:numRef>
          </c:cat>
          <c:val>
            <c:numRef>
              <c:f>'line6 depth'!$M$2:$M$44</c:f>
              <c:numCache>
                <c:formatCode>0%</c:formatCode>
                <c:ptCount val="43"/>
                <c:pt idx="0">
                  <c:v>0.98484848484848486</c:v>
                </c:pt>
                <c:pt idx="1">
                  <c:v>0.93532338308457708</c:v>
                </c:pt>
                <c:pt idx="2">
                  <c:v>0.91287878787878796</c:v>
                </c:pt>
                <c:pt idx="3">
                  <c:v>0.87987987987987992</c:v>
                </c:pt>
                <c:pt idx="4">
                  <c:v>0.86772486772486768</c:v>
                </c:pt>
                <c:pt idx="5">
                  <c:v>0.84741784037558687</c:v>
                </c:pt>
                <c:pt idx="6">
                  <c:v>0.83368869936034118</c:v>
                </c:pt>
                <c:pt idx="7">
                  <c:v>0.825147347740668</c:v>
                </c:pt>
                <c:pt idx="8">
                  <c:v>0.81636363636363629</c:v>
                </c:pt>
                <c:pt idx="9">
                  <c:v>0.78902229845626071</c:v>
                </c:pt>
                <c:pt idx="10">
                  <c:v>0.7768860353130016</c:v>
                </c:pt>
                <c:pt idx="11">
                  <c:v>0.7662141779788838</c:v>
                </c:pt>
                <c:pt idx="12">
                  <c:v>0.75382475660639781</c:v>
                </c:pt>
                <c:pt idx="13">
                  <c:v>0.75646258503401365</c:v>
                </c:pt>
                <c:pt idx="14">
                  <c:v>0.75032010243277858</c:v>
                </c:pt>
                <c:pt idx="15">
                  <c:v>0.73736128236744758</c:v>
                </c:pt>
                <c:pt idx="16">
                  <c:v>0.71896955503512872</c:v>
                </c:pt>
                <c:pt idx="17">
                  <c:v>0.71829405162738502</c:v>
                </c:pt>
                <c:pt idx="18">
                  <c:v>0.70607375271149664</c:v>
                </c:pt>
                <c:pt idx="19">
                  <c:v>0.71025104602510469</c:v>
                </c:pt>
                <c:pt idx="20">
                  <c:v>0.64723926380368102</c:v>
                </c:pt>
                <c:pt idx="21">
                  <c:v>0.6147239263803681</c:v>
                </c:pt>
                <c:pt idx="22">
                  <c:v>0.58389261744966447</c:v>
                </c:pt>
                <c:pt idx="23">
                  <c:v>0.56996434937611407</c:v>
                </c:pt>
                <c:pt idx="24">
                  <c:v>0.55503144654088044</c:v>
                </c:pt>
                <c:pt idx="25">
                  <c:v>0.53396358543417366</c:v>
                </c:pt>
                <c:pt idx="26">
                  <c:v>0.53216941480763014</c:v>
                </c:pt>
                <c:pt idx="27">
                  <c:v>0.51619552414605419</c:v>
                </c:pt>
                <c:pt idx="28">
                  <c:v>0.48159246575342468</c:v>
                </c:pt>
                <c:pt idx="29">
                  <c:v>0.45443665583860493</c:v>
                </c:pt>
                <c:pt idx="30">
                  <c:v>0.43483275663206461</c:v>
                </c:pt>
                <c:pt idx="31">
                  <c:v>0.42685548109748395</c:v>
                </c:pt>
                <c:pt idx="32">
                  <c:v>0.4137813985064494</c:v>
                </c:pt>
                <c:pt idx="33">
                  <c:v>0.40603056588186698</c:v>
                </c:pt>
                <c:pt idx="34">
                  <c:v>0.39988574692944873</c:v>
                </c:pt>
                <c:pt idx="35">
                  <c:v>0.39249600851516764</c:v>
                </c:pt>
                <c:pt idx="36">
                  <c:v>0.38629749729774676</c:v>
                </c:pt>
                <c:pt idx="37">
                  <c:v>0.3827848896567973</c:v>
                </c:pt>
                <c:pt idx="38">
                  <c:v>0.37790741156233643</c:v>
                </c:pt>
                <c:pt idx="39">
                  <c:v>0.37440011460497102</c:v>
                </c:pt>
                <c:pt idx="40">
                  <c:v>0.37118771845658288</c:v>
                </c:pt>
                <c:pt idx="41">
                  <c:v>0.36664906258251911</c:v>
                </c:pt>
                <c:pt idx="42">
                  <c:v>0.36393088552915764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68-1B4A-BC9D-B924C5C3B2AD}"/>
            </c:ext>
          </c:extLst>
        </c:ser>
        <c:ser>
          <c:idx val="3"/>
          <c:order val="3"/>
          <c:tx>
            <c:strRef>
              <c:f>'line6 depth'!$N$1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'line6 depth'!$A$2:$A$44</c:f>
              <c:numCache>
                <c:formatCode>General</c:formatCode>
                <c:ptCount val="4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</c:numCache>
            </c:numRef>
          </c:cat>
          <c:val>
            <c:numRef>
              <c:f>'line6 depth'!$N$2:$N$44</c:f>
              <c:numCache>
                <c:formatCode>0%</c:formatCode>
                <c:ptCount val="43"/>
                <c:pt idx="0">
                  <c:v>0.68181818181818188</c:v>
                </c:pt>
                <c:pt idx="1">
                  <c:v>0.7562189054726367</c:v>
                </c:pt>
                <c:pt idx="2">
                  <c:v>0.77272727272727271</c:v>
                </c:pt>
                <c:pt idx="3">
                  <c:v>0.78678678678678682</c:v>
                </c:pt>
                <c:pt idx="4">
                  <c:v>0.78835978835978848</c:v>
                </c:pt>
                <c:pt idx="5">
                  <c:v>0.79577464788732388</c:v>
                </c:pt>
                <c:pt idx="6">
                  <c:v>0.80170575692963764</c:v>
                </c:pt>
                <c:pt idx="7">
                  <c:v>0.78978388998035376</c:v>
                </c:pt>
                <c:pt idx="8">
                  <c:v>0.77272727272727271</c:v>
                </c:pt>
                <c:pt idx="9">
                  <c:v>0.77186963979416812</c:v>
                </c:pt>
                <c:pt idx="10">
                  <c:v>0.76565008025682191</c:v>
                </c:pt>
                <c:pt idx="11">
                  <c:v>0.74811463046757165</c:v>
                </c:pt>
                <c:pt idx="12">
                  <c:v>0.73574408901251731</c:v>
                </c:pt>
                <c:pt idx="13">
                  <c:v>0.73333333333333328</c:v>
                </c:pt>
                <c:pt idx="14">
                  <c:v>0.72215108834827146</c:v>
                </c:pt>
                <c:pt idx="15">
                  <c:v>0.71516646115906291</c:v>
                </c:pt>
                <c:pt idx="16">
                  <c:v>0.70023419203747062</c:v>
                </c:pt>
                <c:pt idx="17">
                  <c:v>0.70707070707070707</c:v>
                </c:pt>
                <c:pt idx="18">
                  <c:v>0.70281995661605201</c:v>
                </c:pt>
                <c:pt idx="19">
                  <c:v>0.68828451882845187</c:v>
                </c:pt>
                <c:pt idx="20">
                  <c:v>0.6426380368098159</c:v>
                </c:pt>
                <c:pt idx="21">
                  <c:v>0.60552147239263809</c:v>
                </c:pt>
                <c:pt idx="22">
                  <c:v>0.58544140423335056</c:v>
                </c:pt>
                <c:pt idx="23">
                  <c:v>0.5672905525846702</c:v>
                </c:pt>
                <c:pt idx="24">
                  <c:v>0.5507075471698113</c:v>
                </c:pt>
                <c:pt idx="25">
                  <c:v>0.53886554621848737</c:v>
                </c:pt>
                <c:pt idx="26">
                  <c:v>0.52796637568703531</c:v>
                </c:pt>
                <c:pt idx="27">
                  <c:v>0.51472320376914016</c:v>
                </c:pt>
                <c:pt idx="28">
                  <c:v>0.4783818493150685</c:v>
                </c:pt>
                <c:pt idx="29">
                  <c:v>0.45255599247734657</c:v>
                </c:pt>
                <c:pt idx="30">
                  <c:v>0.43699538638985008</c:v>
                </c:pt>
                <c:pt idx="31">
                  <c:v>0.42483246933872804</c:v>
                </c:pt>
                <c:pt idx="32">
                  <c:v>0.41140529531568232</c:v>
                </c:pt>
                <c:pt idx="33">
                  <c:v>0.40788930194134654</c:v>
                </c:pt>
                <c:pt idx="34">
                  <c:v>0.39798152908692758</c:v>
                </c:pt>
                <c:pt idx="35">
                  <c:v>0.39249600851516764</c:v>
                </c:pt>
                <c:pt idx="36">
                  <c:v>0.38529974224661173</c:v>
                </c:pt>
                <c:pt idx="37">
                  <c:v>0.38239220922013667</c:v>
                </c:pt>
                <c:pt idx="38">
                  <c:v>0.3770099469000075</c:v>
                </c:pt>
                <c:pt idx="39">
                  <c:v>0.3751163956736624</c:v>
                </c:pt>
                <c:pt idx="40">
                  <c:v>0.36933726269618261</c:v>
                </c:pt>
                <c:pt idx="41">
                  <c:v>0.36856350673356214</c:v>
                </c:pt>
                <c:pt idx="42">
                  <c:v>0.36475670181679587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C68-1B4A-BC9D-B924C5C3B2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Quito-5 (cnot count relative to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 </a:t>
            </a:r>
            <a:r>
              <a:rPr lang="en-US" sz="2400" baseline="0"/>
              <a:t>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quito5!$K$1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quito5!$A$2:$A$46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quito5!$K$2:$K$46</c:f>
              <c:numCache>
                <c:formatCode>General</c:formatCode>
                <c:ptCount val="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0-5845-AED1-3910EDD12E35}"/>
            </c:ext>
          </c:extLst>
        </c:ser>
        <c:ser>
          <c:idx val="1"/>
          <c:order val="1"/>
          <c:tx>
            <c:strRef>
              <c:f>quito5!$L$1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quito5!$A$2:$A$46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quito5!$L$2:$L$46</c:f>
              <c:numCache>
                <c:formatCode>0%</c:formatCode>
                <c:ptCount val="45"/>
                <c:pt idx="0">
                  <c:v>0.71</c:v>
                </c:pt>
                <c:pt idx="1">
                  <c:v>0.87058823529411766</c:v>
                </c:pt>
                <c:pt idx="2">
                  <c:v>0.8847736625514403</c:v>
                </c:pt>
                <c:pt idx="3">
                  <c:v>0.89898989898989901</c:v>
                </c:pt>
                <c:pt idx="4">
                  <c:v>0.93948126801152732</c:v>
                </c:pt>
                <c:pt idx="5">
                  <c:v>0.95549738219895286</c:v>
                </c:pt>
                <c:pt idx="6">
                  <c:v>0.95971563981042651</c:v>
                </c:pt>
                <c:pt idx="7">
                  <c:v>0.95074946466809418</c:v>
                </c:pt>
                <c:pt idx="8">
                  <c:v>0.94578313253012058</c:v>
                </c:pt>
                <c:pt idx="9">
                  <c:v>0.97333333333333338</c:v>
                </c:pt>
                <c:pt idx="10">
                  <c:v>0.96147110332749552</c:v>
                </c:pt>
                <c:pt idx="11">
                  <c:v>0.96801346801346799</c:v>
                </c:pt>
                <c:pt idx="12">
                  <c:v>0.94662480376766078</c:v>
                </c:pt>
                <c:pt idx="13">
                  <c:v>0.95952023988005997</c:v>
                </c:pt>
                <c:pt idx="14">
                  <c:v>0.95454545454545447</c:v>
                </c:pt>
                <c:pt idx="15">
                  <c:v>0.96027397260273961</c:v>
                </c:pt>
                <c:pt idx="16">
                  <c:v>0.9765625</c:v>
                </c:pt>
                <c:pt idx="17">
                  <c:v>0.97055057618437901</c:v>
                </c:pt>
                <c:pt idx="18">
                  <c:v>0.97791411042944787</c:v>
                </c:pt>
                <c:pt idx="19">
                  <c:v>0.98323353293413163</c:v>
                </c:pt>
                <c:pt idx="20">
                  <c:v>0.97864768683274017</c:v>
                </c:pt>
                <c:pt idx="21">
                  <c:v>0.97687861271676291</c:v>
                </c:pt>
                <c:pt idx="22">
                  <c:v>0.98429648241206025</c:v>
                </c:pt>
                <c:pt idx="23">
                  <c:v>0.97264770240700216</c:v>
                </c:pt>
                <c:pt idx="24">
                  <c:v>0.98000975134080937</c:v>
                </c:pt>
                <c:pt idx="25">
                  <c:v>0.97521406038756198</c:v>
                </c:pt>
                <c:pt idx="26">
                  <c:v>0.97803564028180678</c:v>
                </c:pt>
                <c:pt idx="27">
                  <c:v>0.97952086553323026</c:v>
                </c:pt>
                <c:pt idx="28">
                  <c:v>0.98623578695391989</c:v>
                </c:pt>
                <c:pt idx="29">
                  <c:v>0.98355263157894735</c:v>
                </c:pt>
                <c:pt idx="30">
                  <c:v>0.98343407208417288</c:v>
                </c:pt>
                <c:pt idx="31">
                  <c:v>0.98659354052407067</c:v>
                </c:pt>
                <c:pt idx="32">
                  <c:v>0.98939996214272208</c:v>
                </c:pt>
                <c:pt idx="33">
                  <c:v>0.99043062200956944</c:v>
                </c:pt>
                <c:pt idx="34">
                  <c:v>0.98084355570492354</c:v>
                </c:pt>
                <c:pt idx="35">
                  <c:v>0.98737010391686653</c:v>
                </c:pt>
                <c:pt idx="36">
                  <c:v>0.98670377241805829</c:v>
                </c:pt>
                <c:pt idx="37">
                  <c:v>0.9857439857439857</c:v>
                </c:pt>
                <c:pt idx="38">
                  <c:v>0.9851905104241554</c:v>
                </c:pt>
                <c:pt idx="39">
                  <c:v>0.98111359820928934</c:v>
                </c:pt>
                <c:pt idx="40">
                  <c:v>0.98770491803278693</c:v>
                </c:pt>
                <c:pt idx="41">
                  <c:v>0.99329938354328595</c:v>
                </c:pt>
                <c:pt idx="42">
                  <c:v>0.9938433324600473</c:v>
                </c:pt>
                <c:pt idx="43">
                  <c:v>0.98653328203155055</c:v>
                </c:pt>
                <c:pt idx="44">
                  <c:v>0.99267028939719459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0-5845-AED1-3910EDD12E35}"/>
            </c:ext>
          </c:extLst>
        </c:ser>
        <c:ser>
          <c:idx val="2"/>
          <c:order val="2"/>
          <c:tx>
            <c:strRef>
              <c:f>quito5!$M$1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quito5!$A$2:$A$46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quito5!$M$2:$M$46</c:f>
              <c:numCache>
                <c:formatCode>0%</c:formatCode>
                <c:ptCount val="45"/>
                <c:pt idx="0">
                  <c:v>1</c:v>
                </c:pt>
                <c:pt idx="1">
                  <c:v>0.87647058823529411</c:v>
                </c:pt>
                <c:pt idx="2">
                  <c:v>0.81481481481481477</c:v>
                </c:pt>
                <c:pt idx="3">
                  <c:v>0.81144781144781153</c:v>
                </c:pt>
                <c:pt idx="4">
                  <c:v>0.79250720461095092</c:v>
                </c:pt>
                <c:pt idx="5">
                  <c:v>0.78272251308900509</c:v>
                </c:pt>
                <c:pt idx="6">
                  <c:v>0.77488151658767779</c:v>
                </c:pt>
                <c:pt idx="7">
                  <c:v>0.76017130620985007</c:v>
                </c:pt>
                <c:pt idx="8">
                  <c:v>0.74497991967871491</c:v>
                </c:pt>
                <c:pt idx="9">
                  <c:v>0.75619047619047619</c:v>
                </c:pt>
                <c:pt idx="10">
                  <c:v>0.72329246935201397</c:v>
                </c:pt>
                <c:pt idx="11">
                  <c:v>0.72222222222222221</c:v>
                </c:pt>
                <c:pt idx="12">
                  <c:v>0.71114599686028246</c:v>
                </c:pt>
                <c:pt idx="13">
                  <c:v>0.71514242878560719</c:v>
                </c:pt>
                <c:pt idx="14">
                  <c:v>0.70312499999999989</c:v>
                </c:pt>
                <c:pt idx="15">
                  <c:v>0.69726027397260271</c:v>
                </c:pt>
                <c:pt idx="16">
                  <c:v>0.68229166666666663</c:v>
                </c:pt>
                <c:pt idx="17">
                  <c:v>0.68117797695262494</c:v>
                </c:pt>
                <c:pt idx="18">
                  <c:v>0.6773006134969326</c:v>
                </c:pt>
                <c:pt idx="19">
                  <c:v>0.69101796407185634</c:v>
                </c:pt>
                <c:pt idx="20">
                  <c:v>0.63523131672597866</c:v>
                </c:pt>
                <c:pt idx="21">
                  <c:v>0.60838150289017345</c:v>
                </c:pt>
                <c:pt idx="22">
                  <c:v>0.59170854271356788</c:v>
                </c:pt>
                <c:pt idx="23">
                  <c:v>0.57221006564551413</c:v>
                </c:pt>
                <c:pt idx="24">
                  <c:v>0.55680156021452953</c:v>
                </c:pt>
                <c:pt idx="25">
                  <c:v>0.55205047318611988</c:v>
                </c:pt>
                <c:pt idx="26">
                  <c:v>0.53999171156237047</c:v>
                </c:pt>
                <c:pt idx="27">
                  <c:v>0.52975270479134462</c:v>
                </c:pt>
                <c:pt idx="28">
                  <c:v>0.50388988629563136</c:v>
                </c:pt>
                <c:pt idx="29">
                  <c:v>0.49164979757085026</c:v>
                </c:pt>
                <c:pt idx="30">
                  <c:v>0.47996418177747929</c:v>
                </c:pt>
                <c:pt idx="31">
                  <c:v>0.47369490148283566</c:v>
                </c:pt>
                <c:pt idx="32">
                  <c:v>0.46734809767177743</c:v>
                </c:pt>
                <c:pt idx="33">
                  <c:v>0.46251993620414678</c:v>
                </c:pt>
                <c:pt idx="34">
                  <c:v>0.45790623424634513</c:v>
                </c:pt>
                <c:pt idx="35">
                  <c:v>0.45675459632294163</c:v>
                </c:pt>
                <c:pt idx="36">
                  <c:v>0.45392702535559687</c:v>
                </c:pt>
                <c:pt idx="37">
                  <c:v>0.44861894861894869</c:v>
                </c:pt>
                <c:pt idx="38">
                  <c:v>0.44644140905823149</c:v>
                </c:pt>
                <c:pt idx="39">
                  <c:v>0.4437604924454393</c:v>
                </c:pt>
                <c:pt idx="40">
                  <c:v>0.44248633879781418</c:v>
                </c:pt>
                <c:pt idx="41">
                  <c:v>0.44304476011793087</c:v>
                </c:pt>
                <c:pt idx="42">
                  <c:v>0.43882630337961753</c:v>
                </c:pt>
                <c:pt idx="43">
                  <c:v>0.43632166217776064</c:v>
                </c:pt>
                <c:pt idx="44">
                  <c:v>0.43662327814987995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60-5845-AED1-3910EDD12E35}"/>
            </c:ext>
          </c:extLst>
        </c:ser>
        <c:ser>
          <c:idx val="3"/>
          <c:order val="3"/>
          <c:tx>
            <c:strRef>
              <c:f>quito5!$N$1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quito5!$A$2:$A$46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quito5!$N$2:$N$46</c:f>
              <c:numCache>
                <c:formatCode>0%</c:formatCode>
                <c:ptCount val="45"/>
                <c:pt idx="0">
                  <c:v>0.65</c:v>
                </c:pt>
                <c:pt idx="1">
                  <c:v>0.73529411764705888</c:v>
                </c:pt>
                <c:pt idx="2">
                  <c:v>0.72427983539094654</c:v>
                </c:pt>
                <c:pt idx="3">
                  <c:v>0.74747474747474751</c:v>
                </c:pt>
                <c:pt idx="4">
                  <c:v>0.74063400576368865</c:v>
                </c:pt>
                <c:pt idx="5">
                  <c:v>0.75654450261780093</c:v>
                </c:pt>
                <c:pt idx="6">
                  <c:v>0.7417061611374407</c:v>
                </c:pt>
                <c:pt idx="7">
                  <c:v>0.73447537473233393</c:v>
                </c:pt>
                <c:pt idx="8">
                  <c:v>0.7269076305220884</c:v>
                </c:pt>
                <c:pt idx="9">
                  <c:v>0.72761904761904772</c:v>
                </c:pt>
                <c:pt idx="10">
                  <c:v>0.71103327495621715</c:v>
                </c:pt>
                <c:pt idx="11">
                  <c:v>0.71043771043771053</c:v>
                </c:pt>
                <c:pt idx="12">
                  <c:v>0.68759811616954469</c:v>
                </c:pt>
                <c:pt idx="13">
                  <c:v>0.70314842578710635</c:v>
                </c:pt>
                <c:pt idx="14">
                  <c:v>0.69034090909090906</c:v>
                </c:pt>
                <c:pt idx="15">
                  <c:v>0.67671232876712328</c:v>
                </c:pt>
                <c:pt idx="16">
                  <c:v>0.68098958333333337</c:v>
                </c:pt>
                <c:pt idx="17">
                  <c:v>0.67989756722151096</c:v>
                </c:pt>
                <c:pt idx="18">
                  <c:v>0.66871165644171782</c:v>
                </c:pt>
                <c:pt idx="19">
                  <c:v>0.67185628742514969</c:v>
                </c:pt>
                <c:pt idx="20">
                  <c:v>0.63256227758007111</c:v>
                </c:pt>
                <c:pt idx="21">
                  <c:v>0.60043352601156064</c:v>
                </c:pt>
                <c:pt idx="22">
                  <c:v>0.58919597989949746</c:v>
                </c:pt>
                <c:pt idx="23">
                  <c:v>0.57275711159737419</c:v>
                </c:pt>
                <c:pt idx="24">
                  <c:v>0.55680156021452953</c:v>
                </c:pt>
                <c:pt idx="25">
                  <c:v>0.54889589905362768</c:v>
                </c:pt>
                <c:pt idx="26">
                  <c:v>0.53543307086614167</c:v>
                </c:pt>
                <c:pt idx="27">
                  <c:v>0.5301391035548686</c:v>
                </c:pt>
                <c:pt idx="28">
                  <c:v>0.50448833034111307</c:v>
                </c:pt>
                <c:pt idx="29">
                  <c:v>0.49038461538461542</c:v>
                </c:pt>
                <c:pt idx="30">
                  <c:v>0.47884486232370721</c:v>
                </c:pt>
                <c:pt idx="31">
                  <c:v>0.47227300426569163</c:v>
                </c:pt>
                <c:pt idx="32">
                  <c:v>0.46640166572023478</c:v>
                </c:pt>
                <c:pt idx="33">
                  <c:v>0.46446925394293825</c:v>
                </c:pt>
                <c:pt idx="34">
                  <c:v>0.45891446815661235</c:v>
                </c:pt>
                <c:pt idx="35">
                  <c:v>0.45547561950439647</c:v>
                </c:pt>
                <c:pt idx="36">
                  <c:v>0.45392702535559687</c:v>
                </c:pt>
                <c:pt idx="37">
                  <c:v>0.44713394713394716</c:v>
                </c:pt>
                <c:pt idx="38">
                  <c:v>0.44442846872753416</c:v>
                </c:pt>
                <c:pt idx="39">
                  <c:v>0.44334079462786791</c:v>
                </c:pt>
                <c:pt idx="40">
                  <c:v>0.44289617486338795</c:v>
                </c:pt>
                <c:pt idx="41">
                  <c:v>0.44143661216831942</c:v>
                </c:pt>
                <c:pt idx="42">
                  <c:v>0.44026722556981929</c:v>
                </c:pt>
                <c:pt idx="43">
                  <c:v>0.43709118891881493</c:v>
                </c:pt>
                <c:pt idx="44">
                  <c:v>0.43674965247061803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60-5845-AED1-3910EDD12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Quito-5 (cnot depth relative to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 </a:t>
            </a:r>
            <a:r>
              <a:rPr lang="en-US" sz="2400" baseline="0"/>
              <a:t>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'quito5 depth'!$K$1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'quito5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'quito5 depth'!$K$2:$K$46</c:f>
              <c:numCache>
                <c:formatCode>General</c:formatCode>
                <c:ptCount val="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1F-2C4B-988E-42001FE1CAA8}"/>
            </c:ext>
          </c:extLst>
        </c:ser>
        <c:ser>
          <c:idx val="1"/>
          <c:order val="1"/>
          <c:tx>
            <c:strRef>
              <c:f>'quito5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'quito5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'quito5 depth'!$L$2:$L$46</c:f>
              <c:numCache>
                <c:formatCode>0%</c:formatCode>
                <c:ptCount val="45"/>
                <c:pt idx="0">
                  <c:v>0.7752808988764045</c:v>
                </c:pt>
                <c:pt idx="1">
                  <c:v>0.9072847682119205</c:v>
                </c:pt>
                <c:pt idx="2">
                  <c:v>0.91079812206572763</c:v>
                </c:pt>
                <c:pt idx="3">
                  <c:v>0.92692307692307696</c:v>
                </c:pt>
                <c:pt idx="4">
                  <c:v>0.95695364238410596</c:v>
                </c:pt>
                <c:pt idx="5">
                  <c:v>0.97297297297297303</c:v>
                </c:pt>
                <c:pt idx="6">
                  <c:v>0.98082191780821915</c:v>
                </c:pt>
                <c:pt idx="7">
                  <c:v>0.98024691358024696</c:v>
                </c:pt>
                <c:pt idx="8">
                  <c:v>0.967741935483871</c:v>
                </c:pt>
                <c:pt idx="9">
                  <c:v>1.0022026431718063</c:v>
                </c:pt>
                <c:pt idx="10">
                  <c:v>0.98181818181818181</c:v>
                </c:pt>
                <c:pt idx="11">
                  <c:v>0.98455598455598459</c:v>
                </c:pt>
                <c:pt idx="12">
                  <c:v>0.96920289855072461</c:v>
                </c:pt>
                <c:pt idx="13">
                  <c:v>0.9758620689655173</c:v>
                </c:pt>
                <c:pt idx="14">
                  <c:v>0.97545008183306059</c:v>
                </c:pt>
                <c:pt idx="15">
                  <c:v>0.97952755905511812</c:v>
                </c:pt>
                <c:pt idx="16">
                  <c:v>1.0014947683109117</c:v>
                </c:pt>
                <c:pt idx="17">
                  <c:v>0.98972099853157136</c:v>
                </c:pt>
                <c:pt idx="18">
                  <c:v>0.99858757062146897</c:v>
                </c:pt>
                <c:pt idx="19">
                  <c:v>1</c:v>
                </c:pt>
                <c:pt idx="20">
                  <c:v>1</c:v>
                </c:pt>
                <c:pt idx="21">
                  <c:v>0.99426229508196717</c:v>
                </c:pt>
                <c:pt idx="22">
                  <c:v>1.0014224751066858</c:v>
                </c:pt>
                <c:pt idx="23">
                  <c:v>0.98887515451174279</c:v>
                </c:pt>
                <c:pt idx="24">
                  <c:v>0.99779492833517092</c:v>
                </c:pt>
                <c:pt idx="25">
                  <c:v>0.99593495934959342</c:v>
                </c:pt>
                <c:pt idx="26">
                  <c:v>0.99441080577550078</c:v>
                </c:pt>
                <c:pt idx="27">
                  <c:v>0.99265023778642447</c:v>
                </c:pt>
                <c:pt idx="28">
                  <c:v>0.99933422103861524</c:v>
                </c:pt>
                <c:pt idx="29">
                  <c:v>0.99943788645306353</c:v>
                </c:pt>
                <c:pt idx="30">
                  <c:v>0.99555006180469718</c:v>
                </c:pt>
                <c:pt idx="31">
                  <c:v>0.99932915921288012</c:v>
                </c:pt>
                <c:pt idx="32">
                  <c:v>1.0047916666666667</c:v>
                </c:pt>
                <c:pt idx="33">
                  <c:v>1.0062281043207475</c:v>
                </c:pt>
                <c:pt idx="34">
                  <c:v>0.99503036996134742</c:v>
                </c:pt>
                <c:pt idx="35">
                  <c:v>1.0012237762237763</c:v>
                </c:pt>
                <c:pt idx="36">
                  <c:v>1.0016929067208398</c:v>
                </c:pt>
                <c:pt idx="37">
                  <c:v>1.0029287341360233</c:v>
                </c:pt>
                <c:pt idx="38">
                  <c:v>1.0014166535495044</c:v>
                </c:pt>
                <c:pt idx="39">
                  <c:v>0.99511077158135974</c:v>
                </c:pt>
                <c:pt idx="40">
                  <c:v>1.0019356759976175</c:v>
                </c:pt>
                <c:pt idx="41">
                  <c:v>1.0053983075576307</c:v>
                </c:pt>
                <c:pt idx="42">
                  <c:v>1.0062911066628539</c:v>
                </c:pt>
                <c:pt idx="43">
                  <c:v>1.0005587372538063</c:v>
                </c:pt>
                <c:pt idx="44">
                  <c:v>1.0062026188835287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1F-2C4B-988E-42001FE1CAA8}"/>
            </c:ext>
          </c:extLst>
        </c:ser>
        <c:ser>
          <c:idx val="2"/>
          <c:order val="2"/>
          <c:tx>
            <c:strRef>
              <c:f>'quito5 depth'!$M$1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'quito5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'quito5 depth'!$M$2:$M$46</c:f>
              <c:numCache>
                <c:formatCode>0%</c:formatCode>
                <c:ptCount val="45"/>
                <c:pt idx="0">
                  <c:v>1</c:v>
                </c:pt>
                <c:pt idx="1">
                  <c:v>0.88079470198675502</c:v>
                </c:pt>
                <c:pt idx="2">
                  <c:v>0.83568075117370888</c:v>
                </c:pt>
                <c:pt idx="3">
                  <c:v>0.82692307692307687</c:v>
                </c:pt>
                <c:pt idx="4">
                  <c:v>0.8112582781456954</c:v>
                </c:pt>
                <c:pt idx="5">
                  <c:v>0.7927927927927928</c:v>
                </c:pt>
                <c:pt idx="6">
                  <c:v>0.78630136986301369</c:v>
                </c:pt>
                <c:pt idx="7">
                  <c:v>0.77283950617283947</c:v>
                </c:pt>
                <c:pt idx="8">
                  <c:v>0.74884792626728114</c:v>
                </c:pt>
                <c:pt idx="9">
                  <c:v>0.76431718061674014</c:v>
                </c:pt>
                <c:pt idx="10">
                  <c:v>0.73131313131313136</c:v>
                </c:pt>
                <c:pt idx="11">
                  <c:v>0.72393822393822393</c:v>
                </c:pt>
                <c:pt idx="12">
                  <c:v>0.71739130434782605</c:v>
                </c:pt>
                <c:pt idx="13">
                  <c:v>0.71379310344827585</c:v>
                </c:pt>
                <c:pt idx="14">
                  <c:v>0.70540098199672674</c:v>
                </c:pt>
                <c:pt idx="15">
                  <c:v>0.69921259842519679</c:v>
                </c:pt>
                <c:pt idx="16">
                  <c:v>0.68011958146487284</c:v>
                </c:pt>
                <c:pt idx="17">
                  <c:v>0.68135095447870786</c:v>
                </c:pt>
                <c:pt idx="18">
                  <c:v>0.67655367231638419</c:v>
                </c:pt>
                <c:pt idx="19">
                  <c:v>0.68861454046639226</c:v>
                </c:pt>
                <c:pt idx="20">
                  <c:v>0.62804878048780477</c:v>
                </c:pt>
                <c:pt idx="21">
                  <c:v>0.59426229508196726</c:v>
                </c:pt>
                <c:pt idx="22">
                  <c:v>0.57894736842105265</c:v>
                </c:pt>
                <c:pt idx="23">
                  <c:v>0.55686032138442509</c:v>
                </c:pt>
                <c:pt idx="24">
                  <c:v>0.54134509371554573</c:v>
                </c:pt>
                <c:pt idx="25">
                  <c:v>0.53506097560975607</c:v>
                </c:pt>
                <c:pt idx="26">
                  <c:v>0.51793199813693525</c:v>
                </c:pt>
                <c:pt idx="27">
                  <c:v>0.50670125378296582</c:v>
                </c:pt>
                <c:pt idx="28">
                  <c:v>0.47536617842876172</c:v>
                </c:pt>
                <c:pt idx="29">
                  <c:v>0.46008993816750982</c:v>
                </c:pt>
                <c:pt idx="30">
                  <c:v>0.4437577255871446</c:v>
                </c:pt>
                <c:pt idx="31">
                  <c:v>0.43470483005366728</c:v>
                </c:pt>
                <c:pt idx="32">
                  <c:v>0.42708333333333331</c:v>
                </c:pt>
                <c:pt idx="33">
                  <c:v>0.42039704165044767</c:v>
                </c:pt>
                <c:pt idx="34">
                  <c:v>0.41597644027240938</c:v>
                </c:pt>
                <c:pt idx="35">
                  <c:v>0.41258741258741261</c:v>
                </c:pt>
                <c:pt idx="36">
                  <c:v>0.40985271711528692</c:v>
                </c:pt>
                <c:pt idx="37">
                  <c:v>0.40449072567523592</c:v>
                </c:pt>
                <c:pt idx="38">
                  <c:v>0.40107036045962541</c:v>
                </c:pt>
                <c:pt idx="39">
                  <c:v>0.3969442322383499</c:v>
                </c:pt>
                <c:pt idx="40">
                  <c:v>0.39443120905300771</c:v>
                </c:pt>
                <c:pt idx="41">
                  <c:v>0.39436825211555299</c:v>
                </c:pt>
                <c:pt idx="42">
                  <c:v>0.39104947097512155</c:v>
                </c:pt>
                <c:pt idx="43">
                  <c:v>0.38748428551473668</c:v>
                </c:pt>
                <c:pt idx="44">
                  <c:v>0.3870434183321847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1F-2C4B-988E-42001FE1CAA8}"/>
            </c:ext>
          </c:extLst>
        </c:ser>
        <c:ser>
          <c:idx val="3"/>
          <c:order val="3"/>
          <c:tx>
            <c:strRef>
              <c:f>'quito5 depth'!$N$1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'quito5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'quito5 depth'!$N$2:$N$46</c:f>
              <c:numCache>
                <c:formatCode>0%</c:formatCode>
                <c:ptCount val="45"/>
                <c:pt idx="0">
                  <c:v>0.6966292134831461</c:v>
                </c:pt>
                <c:pt idx="1">
                  <c:v>0.76821192052980136</c:v>
                </c:pt>
                <c:pt idx="2">
                  <c:v>0.76056338028169013</c:v>
                </c:pt>
                <c:pt idx="3">
                  <c:v>0.76923076923076927</c:v>
                </c:pt>
                <c:pt idx="4">
                  <c:v>0.76158940397350994</c:v>
                </c:pt>
                <c:pt idx="5">
                  <c:v>0.77177177177177181</c:v>
                </c:pt>
                <c:pt idx="6">
                  <c:v>0.76986301369863019</c:v>
                </c:pt>
                <c:pt idx="7">
                  <c:v>0.75061728395061722</c:v>
                </c:pt>
                <c:pt idx="8">
                  <c:v>0.73732718894009219</c:v>
                </c:pt>
                <c:pt idx="9">
                  <c:v>0.74229074889867852</c:v>
                </c:pt>
                <c:pt idx="10">
                  <c:v>0.71919191919191927</c:v>
                </c:pt>
                <c:pt idx="11">
                  <c:v>0.72007722007722008</c:v>
                </c:pt>
                <c:pt idx="12">
                  <c:v>0.69565217391304346</c:v>
                </c:pt>
                <c:pt idx="13">
                  <c:v>0.70862068965517244</c:v>
                </c:pt>
                <c:pt idx="14">
                  <c:v>0.69558101472995093</c:v>
                </c:pt>
                <c:pt idx="15">
                  <c:v>0.68188976377952748</c:v>
                </c:pt>
                <c:pt idx="16">
                  <c:v>0.68460388639760827</c:v>
                </c:pt>
                <c:pt idx="17">
                  <c:v>0.68135095447870786</c:v>
                </c:pt>
                <c:pt idx="18">
                  <c:v>0.67090395480225995</c:v>
                </c:pt>
                <c:pt idx="19">
                  <c:v>0.66941015089163225</c:v>
                </c:pt>
                <c:pt idx="20">
                  <c:v>0.62703252032520329</c:v>
                </c:pt>
                <c:pt idx="21">
                  <c:v>0.58852459016393444</c:v>
                </c:pt>
                <c:pt idx="22">
                  <c:v>0.57752489331436707</c:v>
                </c:pt>
                <c:pt idx="23">
                  <c:v>0.55747836835599507</c:v>
                </c:pt>
                <c:pt idx="24">
                  <c:v>0.54134509371554573</c:v>
                </c:pt>
                <c:pt idx="25">
                  <c:v>0.53201219512195119</c:v>
                </c:pt>
                <c:pt idx="26">
                  <c:v>0.51653469958081044</c:v>
                </c:pt>
                <c:pt idx="27">
                  <c:v>0.50713359273670555</c:v>
                </c:pt>
                <c:pt idx="28">
                  <c:v>0.47636484687083891</c:v>
                </c:pt>
                <c:pt idx="29">
                  <c:v>0.45896571107363687</c:v>
                </c:pt>
                <c:pt idx="30">
                  <c:v>0.4437577255871446</c:v>
                </c:pt>
                <c:pt idx="31">
                  <c:v>0.43358676207513419</c:v>
                </c:pt>
                <c:pt idx="32">
                  <c:v>0.42666666666666669</c:v>
                </c:pt>
                <c:pt idx="33">
                  <c:v>0.42234332425068122</c:v>
                </c:pt>
                <c:pt idx="34">
                  <c:v>0.4156083195288055</c:v>
                </c:pt>
                <c:pt idx="35">
                  <c:v>0.41083916083916083</c:v>
                </c:pt>
                <c:pt idx="36">
                  <c:v>0.40968342644320294</c:v>
                </c:pt>
                <c:pt idx="37">
                  <c:v>0.40188740644321508</c:v>
                </c:pt>
                <c:pt idx="38">
                  <c:v>0.39839445931056194</c:v>
                </c:pt>
                <c:pt idx="39">
                  <c:v>0.39587471352177239</c:v>
                </c:pt>
                <c:pt idx="40">
                  <c:v>0.39517569982132217</c:v>
                </c:pt>
                <c:pt idx="41">
                  <c:v>0.39290925007295013</c:v>
                </c:pt>
                <c:pt idx="42">
                  <c:v>0.39276522733771801</c:v>
                </c:pt>
                <c:pt idx="43">
                  <c:v>0.38776365414163994</c:v>
                </c:pt>
                <c:pt idx="44">
                  <c:v>0.3874569262577533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1F-2C4B-988E-42001FE1C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grid-9 (cnot count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grid9!$K$1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grid9!$A$2:$A$46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grid9!$K$2:$K$46</c:f>
              <c:numCache>
                <c:formatCode>General</c:formatCode>
                <c:ptCount val="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CE-0D43-B942-9D9F1A05DA4E}"/>
            </c:ext>
          </c:extLst>
        </c:ser>
        <c:ser>
          <c:idx val="1"/>
          <c:order val="1"/>
          <c:tx>
            <c:strRef>
              <c:f>grid9!$L$1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grid9!$A$2:$A$46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grid9!$L$2:$L$46</c:f>
              <c:numCache>
                <c:formatCode>0%</c:formatCode>
                <c:ptCount val="45"/>
                <c:pt idx="0">
                  <c:v>0.77826086956521734</c:v>
                </c:pt>
                <c:pt idx="1">
                  <c:v>0.91935483870967738</c:v>
                </c:pt>
                <c:pt idx="2">
                  <c:v>0.94535519125683065</c:v>
                </c:pt>
                <c:pt idx="3">
                  <c:v>0.94838709677419353</c:v>
                </c:pt>
                <c:pt idx="4">
                  <c:v>0.95590994371482185</c:v>
                </c:pt>
                <c:pt idx="5">
                  <c:v>0.95447019867549665</c:v>
                </c:pt>
                <c:pt idx="6">
                  <c:v>0.95814307458143078</c:v>
                </c:pt>
                <c:pt idx="7">
                  <c:v>0.96403872752420483</c:v>
                </c:pt>
                <c:pt idx="8">
                  <c:v>0.95281189398836463</c:v>
                </c:pt>
                <c:pt idx="9">
                  <c:v>0.96400719856028794</c:v>
                </c:pt>
                <c:pt idx="10">
                  <c:v>0.96492236917768837</c:v>
                </c:pt>
                <c:pt idx="11">
                  <c:v>0.96566523605150212</c:v>
                </c:pt>
                <c:pt idx="12">
                  <c:v>0.95879959308240081</c:v>
                </c:pt>
                <c:pt idx="13">
                  <c:v>0.96228239845261121</c:v>
                </c:pt>
                <c:pt idx="14">
                  <c:v>0.95973782771535587</c:v>
                </c:pt>
                <c:pt idx="15">
                  <c:v>0.95304958315050459</c:v>
                </c:pt>
                <c:pt idx="16">
                  <c:v>0.9778817524457678</c:v>
                </c:pt>
                <c:pt idx="17">
                  <c:v>0.96862265688671545</c:v>
                </c:pt>
                <c:pt idx="18">
                  <c:v>0.95856137607505854</c:v>
                </c:pt>
                <c:pt idx="19">
                  <c:v>0.95944423582425831</c:v>
                </c:pt>
                <c:pt idx="20">
                  <c:v>0.96939343350027829</c:v>
                </c:pt>
                <c:pt idx="21">
                  <c:v>0.97156187513885806</c:v>
                </c:pt>
                <c:pt idx="22">
                  <c:v>0.96736123916651318</c:v>
                </c:pt>
                <c:pt idx="23">
                  <c:v>0.97019657577679141</c:v>
                </c:pt>
                <c:pt idx="24">
                  <c:v>0.96651445966514449</c:v>
                </c:pt>
                <c:pt idx="25">
                  <c:v>0.97587964689792372</c:v>
                </c:pt>
                <c:pt idx="26">
                  <c:v>0.97559337214509623</c:v>
                </c:pt>
                <c:pt idx="27">
                  <c:v>0.97732611582065154</c:v>
                </c:pt>
                <c:pt idx="28">
                  <c:v>0.97175583380762676</c:v>
                </c:pt>
                <c:pt idx="29">
                  <c:v>0.9772236076475479</c:v>
                </c:pt>
                <c:pt idx="30">
                  <c:v>0.97546538948129413</c:v>
                </c:pt>
                <c:pt idx="31">
                  <c:v>0.97516999006799598</c:v>
                </c:pt>
                <c:pt idx="32">
                  <c:v>0.96977329974811088</c:v>
                </c:pt>
                <c:pt idx="33">
                  <c:v>0.97165145716808943</c:v>
                </c:pt>
                <c:pt idx="34">
                  <c:v>0.9734939118413356</c:v>
                </c:pt>
                <c:pt idx="35">
                  <c:v>0.97237729282969632</c:v>
                </c:pt>
                <c:pt idx="36">
                  <c:v>0.97373858561621018</c:v>
                </c:pt>
                <c:pt idx="37">
                  <c:v>0.97833181855738249</c:v>
                </c:pt>
                <c:pt idx="38">
                  <c:v>0.97855589135498289</c:v>
                </c:pt>
                <c:pt idx="39">
                  <c:v>0.97437464059804479</c:v>
                </c:pt>
                <c:pt idx="40">
                  <c:v>0.97598740988932897</c:v>
                </c:pt>
                <c:pt idx="41">
                  <c:v>0.9770050566472509</c:v>
                </c:pt>
                <c:pt idx="42">
                  <c:v>0.97818430241384546</c:v>
                </c:pt>
                <c:pt idx="43">
                  <c:v>0.97699313678939859</c:v>
                </c:pt>
                <c:pt idx="44">
                  <c:v>0.97674290514024475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E-0D43-B942-9D9F1A05DA4E}"/>
            </c:ext>
          </c:extLst>
        </c:ser>
        <c:ser>
          <c:idx val="2"/>
          <c:order val="2"/>
          <c:tx>
            <c:strRef>
              <c:f>grid9!$M$1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grid9!$A$2:$A$46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grid9!$M$2:$M$46</c:f>
              <c:numCache>
                <c:formatCode>0%</c:formatCode>
                <c:ptCount val="45"/>
                <c:pt idx="0">
                  <c:v>1.3043478260869565</c:v>
                </c:pt>
                <c:pt idx="1">
                  <c:v>1.0443548387096773</c:v>
                </c:pt>
                <c:pt idx="2">
                  <c:v>0.92759562841530063</c:v>
                </c:pt>
                <c:pt idx="3">
                  <c:v>0.89892473118279559</c:v>
                </c:pt>
                <c:pt idx="4">
                  <c:v>0.87523452157598502</c:v>
                </c:pt>
                <c:pt idx="5">
                  <c:v>0.85678807947019875</c:v>
                </c:pt>
                <c:pt idx="6">
                  <c:v>0.84550989345509886</c:v>
                </c:pt>
                <c:pt idx="7">
                  <c:v>0.83264177040110654</c:v>
                </c:pt>
                <c:pt idx="8">
                  <c:v>0.82546864899806083</c:v>
                </c:pt>
                <c:pt idx="9">
                  <c:v>0.80263947210557895</c:v>
                </c:pt>
                <c:pt idx="10">
                  <c:v>0.80851063829787229</c:v>
                </c:pt>
                <c:pt idx="11">
                  <c:v>0.78594420600858361</c:v>
                </c:pt>
                <c:pt idx="12">
                  <c:v>0.78484231943031546</c:v>
                </c:pt>
                <c:pt idx="13">
                  <c:v>0.78143133462282388</c:v>
                </c:pt>
                <c:pt idx="14">
                  <c:v>0.7752808988764045</c:v>
                </c:pt>
                <c:pt idx="15">
                  <c:v>0.75822729267222466</c:v>
                </c:pt>
                <c:pt idx="16">
                  <c:v>0.76180348787749896</c:v>
                </c:pt>
                <c:pt idx="17">
                  <c:v>0.75305623471882643</c:v>
                </c:pt>
                <c:pt idx="18">
                  <c:v>0.74394057857701335</c:v>
                </c:pt>
                <c:pt idx="19">
                  <c:v>0.73976717987232443</c:v>
                </c:pt>
                <c:pt idx="20">
                  <c:v>0.71007234279354481</c:v>
                </c:pt>
                <c:pt idx="21">
                  <c:v>0.68762497222839369</c:v>
                </c:pt>
                <c:pt idx="22">
                  <c:v>0.66715839940992083</c:v>
                </c:pt>
                <c:pt idx="23">
                  <c:v>0.6580532656943564</c:v>
                </c:pt>
                <c:pt idx="24">
                  <c:v>0.64106821641068212</c:v>
                </c:pt>
                <c:pt idx="25">
                  <c:v>0.63757304488374977</c:v>
                </c:pt>
                <c:pt idx="26">
                  <c:v>0.6280788177339901</c:v>
                </c:pt>
                <c:pt idx="27">
                  <c:v>0.61873148810131751</c:v>
                </c:pt>
                <c:pt idx="28">
                  <c:v>0.59049516220830967</c:v>
                </c:pt>
                <c:pt idx="29">
                  <c:v>0.571127736215018</c:v>
                </c:pt>
                <c:pt idx="30">
                  <c:v>0.55286463039942169</c:v>
                </c:pt>
                <c:pt idx="31">
                  <c:v>0.53957521583008627</c:v>
                </c:pt>
                <c:pt idx="32">
                  <c:v>0.52664722259048125</c:v>
                </c:pt>
                <c:pt idx="33">
                  <c:v>0.51689726229025612</c:v>
                </c:pt>
                <c:pt idx="34">
                  <c:v>0.51012920721008137</c:v>
                </c:pt>
                <c:pt idx="35">
                  <c:v>0.50107542473235223</c:v>
                </c:pt>
                <c:pt idx="36">
                  <c:v>0.49614521540136419</c:v>
                </c:pt>
                <c:pt idx="37">
                  <c:v>0.49140708915145009</c:v>
                </c:pt>
                <c:pt idx="38">
                  <c:v>0.48526439392481091</c:v>
                </c:pt>
                <c:pt idx="39">
                  <c:v>0.47847182288671647</c:v>
                </c:pt>
                <c:pt idx="40">
                  <c:v>0.47429519071310122</c:v>
                </c:pt>
                <c:pt idx="41">
                  <c:v>0.46991614926710618</c:v>
                </c:pt>
                <c:pt idx="42">
                  <c:v>0.46758767268862911</c:v>
                </c:pt>
                <c:pt idx="43">
                  <c:v>0.46169119868778868</c:v>
                </c:pt>
                <c:pt idx="44">
                  <c:v>0.45835341420762016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CE-0D43-B942-9D9F1A05DA4E}"/>
            </c:ext>
          </c:extLst>
        </c:ser>
        <c:ser>
          <c:idx val="3"/>
          <c:order val="3"/>
          <c:tx>
            <c:strRef>
              <c:f>grid9!$N$1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grid9!$A$2:$A$46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grid9!$N$2:$N$46</c:f>
              <c:numCache>
                <c:formatCode>0%</c:formatCode>
                <c:ptCount val="45"/>
                <c:pt idx="0">
                  <c:v>0.72608695652173905</c:v>
                </c:pt>
                <c:pt idx="1">
                  <c:v>0.780241935483871</c:v>
                </c:pt>
                <c:pt idx="2">
                  <c:v>0.81967213114754101</c:v>
                </c:pt>
                <c:pt idx="3">
                  <c:v>0.8193548387096774</c:v>
                </c:pt>
                <c:pt idx="4">
                  <c:v>0.80581613508442784</c:v>
                </c:pt>
                <c:pt idx="5">
                  <c:v>0.80463576158940397</c:v>
                </c:pt>
                <c:pt idx="6">
                  <c:v>0.80060882800608824</c:v>
                </c:pt>
                <c:pt idx="7">
                  <c:v>0.80013831258644541</c:v>
                </c:pt>
                <c:pt idx="8">
                  <c:v>0.79056237879767299</c:v>
                </c:pt>
                <c:pt idx="9">
                  <c:v>0.78104379124175161</c:v>
                </c:pt>
                <c:pt idx="10">
                  <c:v>0.77745830937320293</c:v>
                </c:pt>
                <c:pt idx="11">
                  <c:v>0.76984978540772531</c:v>
                </c:pt>
                <c:pt idx="12">
                  <c:v>0.76347914547304174</c:v>
                </c:pt>
                <c:pt idx="13">
                  <c:v>0.75918762088974856</c:v>
                </c:pt>
                <c:pt idx="14">
                  <c:v>0.75655430711610483</c:v>
                </c:pt>
                <c:pt idx="15">
                  <c:v>0.7384817902588855</c:v>
                </c:pt>
                <c:pt idx="16">
                  <c:v>0.74606550404083372</c:v>
                </c:pt>
                <c:pt idx="17">
                  <c:v>0.73757131214343929</c:v>
                </c:pt>
                <c:pt idx="18">
                  <c:v>0.73534010946051598</c:v>
                </c:pt>
                <c:pt idx="19">
                  <c:v>0.72286894479909869</c:v>
                </c:pt>
                <c:pt idx="20">
                  <c:v>0.69838619922092382</c:v>
                </c:pt>
                <c:pt idx="21">
                  <c:v>0.67807153965785372</c:v>
                </c:pt>
                <c:pt idx="22">
                  <c:v>0.66107320671215197</c:v>
                </c:pt>
                <c:pt idx="23">
                  <c:v>0.65044388078630322</c:v>
                </c:pt>
                <c:pt idx="24">
                  <c:v>0.63940777639407775</c:v>
                </c:pt>
                <c:pt idx="25">
                  <c:v>0.63309710307099343</c:v>
                </c:pt>
                <c:pt idx="26">
                  <c:v>0.62651141961486789</c:v>
                </c:pt>
                <c:pt idx="27">
                  <c:v>0.6166887958329077</c:v>
                </c:pt>
                <c:pt idx="28">
                  <c:v>0.58643995446784292</c:v>
                </c:pt>
                <c:pt idx="29">
                  <c:v>0.56952064283735104</c:v>
                </c:pt>
                <c:pt idx="30">
                  <c:v>0.55272908006506416</c:v>
                </c:pt>
                <c:pt idx="31">
                  <c:v>0.53865841546336612</c:v>
                </c:pt>
                <c:pt idx="32">
                  <c:v>0.52561977992841047</c:v>
                </c:pt>
                <c:pt idx="33">
                  <c:v>0.51669119811598474</c:v>
                </c:pt>
                <c:pt idx="34">
                  <c:v>0.50954431860477478</c:v>
                </c:pt>
                <c:pt idx="35">
                  <c:v>0.50054375407815554</c:v>
                </c:pt>
                <c:pt idx="36">
                  <c:v>0.49452331755871054</c:v>
                </c:pt>
                <c:pt idx="37">
                  <c:v>0.49058084772370486</c:v>
                </c:pt>
                <c:pt idx="38">
                  <c:v>0.48443665903097272</c:v>
                </c:pt>
                <c:pt idx="39">
                  <c:v>0.47865152386428977</c:v>
                </c:pt>
                <c:pt idx="40">
                  <c:v>0.47431211290486347</c:v>
                </c:pt>
                <c:pt idx="41">
                  <c:v>0.46999615950841706</c:v>
                </c:pt>
                <c:pt idx="42">
                  <c:v>0.46638834067101864</c:v>
                </c:pt>
                <c:pt idx="43">
                  <c:v>0.46150415101940978</c:v>
                </c:pt>
                <c:pt idx="44">
                  <c:v>0.45941368436996544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CE-0D43-B942-9D9F1A05DA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grid-9 (cnot depth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'grid9 depth'!$K$1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'grid9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'grid9 depth'!$K$2:$K$46</c:f>
              <c:numCache>
                <c:formatCode>General</c:formatCode>
                <c:ptCount val="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36-AA45-A647-E6A731EF0866}"/>
            </c:ext>
          </c:extLst>
        </c:ser>
        <c:ser>
          <c:idx val="1"/>
          <c:order val="1"/>
          <c:tx>
            <c:strRef>
              <c:f>'grid9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'grid9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'grid9 depth'!$L$2:$L$46</c:f>
              <c:numCache>
                <c:formatCode>0%</c:formatCode>
                <c:ptCount val="45"/>
                <c:pt idx="0">
                  <c:v>0.83333333333333337</c:v>
                </c:pt>
                <c:pt idx="1">
                  <c:v>0.96449704142011849</c:v>
                </c:pt>
                <c:pt idx="2">
                  <c:v>0.97703549060542794</c:v>
                </c:pt>
                <c:pt idx="3">
                  <c:v>1</c:v>
                </c:pt>
                <c:pt idx="4">
                  <c:v>0.99846390168970822</c:v>
                </c:pt>
                <c:pt idx="5">
                  <c:v>1.0125698324022347</c:v>
                </c:pt>
                <c:pt idx="6">
                  <c:v>1.0038610038610039</c:v>
                </c:pt>
                <c:pt idx="7">
                  <c:v>1.0201900237529691</c:v>
                </c:pt>
                <c:pt idx="8">
                  <c:v>1.0100111234705227</c:v>
                </c:pt>
                <c:pt idx="9">
                  <c:v>1.0052029136316336</c:v>
                </c:pt>
                <c:pt idx="10">
                  <c:v>1.0129740518962076</c:v>
                </c:pt>
                <c:pt idx="11">
                  <c:v>1.011204481792717</c:v>
                </c:pt>
                <c:pt idx="12">
                  <c:v>1.0044483985765125</c:v>
                </c:pt>
                <c:pt idx="13">
                  <c:v>1.0025295109612142</c:v>
                </c:pt>
                <c:pt idx="14">
                  <c:v>1.000819000819001</c:v>
                </c:pt>
                <c:pt idx="15">
                  <c:v>0.9992266047950501</c:v>
                </c:pt>
                <c:pt idx="16">
                  <c:v>1.0111940298507462</c:v>
                </c:pt>
                <c:pt idx="17">
                  <c:v>1</c:v>
                </c:pt>
                <c:pt idx="18">
                  <c:v>1.0083333333333333</c:v>
                </c:pt>
                <c:pt idx="19">
                  <c:v>1.0086782376502001</c:v>
                </c:pt>
                <c:pt idx="20">
                  <c:v>1.0073818897637796</c:v>
                </c:pt>
                <c:pt idx="21">
                  <c:v>1.0066614420062696</c:v>
                </c:pt>
                <c:pt idx="22">
                  <c:v>1.0180387012135126</c:v>
                </c:pt>
                <c:pt idx="23">
                  <c:v>1.0111482720178373</c:v>
                </c:pt>
                <c:pt idx="24">
                  <c:v>1.0060827250608273</c:v>
                </c:pt>
                <c:pt idx="25">
                  <c:v>1.0043215211754537</c:v>
                </c:pt>
                <c:pt idx="26">
                  <c:v>1.0131269592476491</c:v>
                </c:pt>
                <c:pt idx="27">
                  <c:v>1.0128227960819236</c:v>
                </c:pt>
                <c:pt idx="28">
                  <c:v>1.0098400984009841</c:v>
                </c:pt>
                <c:pt idx="29">
                  <c:v>1.0041599697456745</c:v>
                </c:pt>
                <c:pt idx="30">
                  <c:v>1.004767030601261</c:v>
                </c:pt>
                <c:pt idx="31">
                  <c:v>1.0081121422545265</c:v>
                </c:pt>
                <c:pt idx="32">
                  <c:v>1.0041505412530147</c:v>
                </c:pt>
                <c:pt idx="33">
                  <c:v>1.0069881548297566</c:v>
                </c:pt>
                <c:pt idx="34">
                  <c:v>1.010431123248422</c:v>
                </c:pt>
                <c:pt idx="35">
                  <c:v>1.0074356994839706</c:v>
                </c:pt>
                <c:pt idx="36">
                  <c:v>1.0091709055805145</c:v>
                </c:pt>
                <c:pt idx="37">
                  <c:v>1.0044767958444401</c:v>
                </c:pt>
                <c:pt idx="38">
                  <c:v>1.0097152535872935</c:v>
                </c:pt>
                <c:pt idx="39">
                  <c:v>1.0078808322636497</c:v>
                </c:pt>
                <c:pt idx="40">
                  <c:v>1.009304932735426</c:v>
                </c:pt>
                <c:pt idx="41">
                  <c:v>1.0092220695486736</c:v>
                </c:pt>
                <c:pt idx="42">
                  <c:v>1.0035902166596027</c:v>
                </c:pt>
                <c:pt idx="43">
                  <c:v>1.0068697588477755</c:v>
                </c:pt>
                <c:pt idx="44">
                  <c:v>1.0081824551886258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36-AA45-A647-E6A731EF0866}"/>
            </c:ext>
          </c:extLst>
        </c:ser>
        <c:ser>
          <c:idx val="2"/>
          <c:order val="2"/>
          <c:tx>
            <c:strRef>
              <c:f>'grid9 depth'!$M$1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'grid9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'grid9 depth'!$M$2:$M$46</c:f>
              <c:numCache>
                <c:formatCode>0%</c:formatCode>
                <c:ptCount val="45"/>
                <c:pt idx="0">
                  <c:v>1.3505747126436782</c:v>
                </c:pt>
                <c:pt idx="1">
                  <c:v>1.1124260355029587</c:v>
                </c:pt>
                <c:pt idx="2">
                  <c:v>0.97912317327766174</c:v>
                </c:pt>
                <c:pt idx="3">
                  <c:v>0.9896013864818024</c:v>
                </c:pt>
                <c:pt idx="4">
                  <c:v>0.96313364055299555</c:v>
                </c:pt>
                <c:pt idx="5">
                  <c:v>0.96368715083798895</c:v>
                </c:pt>
                <c:pt idx="6">
                  <c:v>0.95624195624195618</c:v>
                </c:pt>
                <c:pt idx="7">
                  <c:v>0.9548693586698338</c:v>
                </c:pt>
                <c:pt idx="8">
                  <c:v>0.94327030033370407</c:v>
                </c:pt>
                <c:pt idx="9">
                  <c:v>0.92507804370447466</c:v>
                </c:pt>
                <c:pt idx="10">
                  <c:v>0.93413173652694603</c:v>
                </c:pt>
                <c:pt idx="11">
                  <c:v>0.91503267973856217</c:v>
                </c:pt>
                <c:pt idx="12">
                  <c:v>0.92704626334519569</c:v>
                </c:pt>
                <c:pt idx="13">
                  <c:v>0.91568296795952786</c:v>
                </c:pt>
                <c:pt idx="14">
                  <c:v>0.91564291564291567</c:v>
                </c:pt>
                <c:pt idx="15">
                  <c:v>0.90177880897138429</c:v>
                </c:pt>
                <c:pt idx="16">
                  <c:v>0.89999999999999991</c:v>
                </c:pt>
                <c:pt idx="17">
                  <c:v>0.89699570815450635</c:v>
                </c:pt>
                <c:pt idx="18">
                  <c:v>0.89861111111111114</c:v>
                </c:pt>
                <c:pt idx="19">
                  <c:v>0.89853137516688908</c:v>
                </c:pt>
                <c:pt idx="20">
                  <c:v>0.86811023622047256</c:v>
                </c:pt>
                <c:pt idx="21">
                  <c:v>0.84717868338557989</c:v>
                </c:pt>
                <c:pt idx="22">
                  <c:v>0.8383076418497869</c:v>
                </c:pt>
                <c:pt idx="23">
                  <c:v>0.81967670011148275</c:v>
                </c:pt>
                <c:pt idx="24">
                  <c:v>0.80316301703163018</c:v>
                </c:pt>
                <c:pt idx="25">
                  <c:v>0.79364736387208301</c:v>
                </c:pt>
                <c:pt idx="26">
                  <c:v>0.79192789968652044</c:v>
                </c:pt>
                <c:pt idx="27">
                  <c:v>0.78023152270703477</c:v>
                </c:pt>
                <c:pt idx="28">
                  <c:v>0.74981549815498161</c:v>
                </c:pt>
                <c:pt idx="29">
                  <c:v>0.71976931076864892</c:v>
                </c:pt>
                <c:pt idx="30">
                  <c:v>0.70275257573427652</c:v>
                </c:pt>
                <c:pt idx="31">
                  <c:v>0.68674151469920175</c:v>
                </c:pt>
                <c:pt idx="32">
                  <c:v>0.67020023557126029</c:v>
                </c:pt>
                <c:pt idx="33">
                  <c:v>0.65733260643306735</c:v>
                </c:pt>
                <c:pt idx="34">
                  <c:v>0.65035591171598706</c:v>
                </c:pt>
                <c:pt idx="35">
                  <c:v>0.63934825890861813</c:v>
                </c:pt>
                <c:pt idx="36">
                  <c:v>0.63052760553967246</c:v>
                </c:pt>
                <c:pt idx="37">
                  <c:v>0.61936983118037048</c:v>
                </c:pt>
                <c:pt idx="38">
                  <c:v>0.61442587325429032</c:v>
                </c:pt>
                <c:pt idx="39">
                  <c:v>0.60673452938893702</c:v>
                </c:pt>
                <c:pt idx="40">
                  <c:v>0.60114910313901349</c:v>
                </c:pt>
                <c:pt idx="41">
                  <c:v>0.59356833315717161</c:v>
                </c:pt>
                <c:pt idx="42">
                  <c:v>0.58737440474706426</c:v>
                </c:pt>
                <c:pt idx="43">
                  <c:v>0.58236603970246847</c:v>
                </c:pt>
                <c:pt idx="44">
                  <c:v>0.57661445265703759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36-AA45-A647-E6A731EF0866}"/>
            </c:ext>
          </c:extLst>
        </c:ser>
        <c:ser>
          <c:idx val="3"/>
          <c:order val="3"/>
          <c:tx>
            <c:strRef>
              <c:f>'grid9 depth'!$N$1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'grid9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'grid9 depth'!$N$2:$N$46</c:f>
              <c:numCache>
                <c:formatCode>0%</c:formatCode>
                <c:ptCount val="45"/>
                <c:pt idx="0">
                  <c:v>0.79310344827586221</c:v>
                </c:pt>
                <c:pt idx="1">
                  <c:v>0.86390532544378706</c:v>
                </c:pt>
                <c:pt idx="2">
                  <c:v>0.89561586638830892</c:v>
                </c:pt>
                <c:pt idx="3">
                  <c:v>0.91854419410745225</c:v>
                </c:pt>
                <c:pt idx="4">
                  <c:v>0.90629800307219666</c:v>
                </c:pt>
                <c:pt idx="5">
                  <c:v>0.92039106145251415</c:v>
                </c:pt>
                <c:pt idx="6">
                  <c:v>0.90604890604890609</c:v>
                </c:pt>
                <c:pt idx="7">
                  <c:v>0.92042755344418048</c:v>
                </c:pt>
                <c:pt idx="8">
                  <c:v>0.90545050055617349</c:v>
                </c:pt>
                <c:pt idx="9">
                  <c:v>0.9094693028095735</c:v>
                </c:pt>
                <c:pt idx="10">
                  <c:v>0.90419161676646698</c:v>
                </c:pt>
                <c:pt idx="11">
                  <c:v>0.90102707749766575</c:v>
                </c:pt>
                <c:pt idx="12">
                  <c:v>0.89768683274021355</c:v>
                </c:pt>
                <c:pt idx="13">
                  <c:v>0.89544688026981456</c:v>
                </c:pt>
                <c:pt idx="14">
                  <c:v>0.89434889434889442</c:v>
                </c:pt>
                <c:pt idx="15">
                  <c:v>0.88089713843774164</c:v>
                </c:pt>
                <c:pt idx="16">
                  <c:v>0.88880597014925367</c:v>
                </c:pt>
                <c:pt idx="17">
                  <c:v>0.87982832618025741</c:v>
                </c:pt>
                <c:pt idx="18">
                  <c:v>0.88541666666666663</c:v>
                </c:pt>
                <c:pt idx="19">
                  <c:v>0.87249666221628819</c:v>
                </c:pt>
                <c:pt idx="20">
                  <c:v>0.85629921259842523</c:v>
                </c:pt>
                <c:pt idx="21">
                  <c:v>0.83777429467084652</c:v>
                </c:pt>
                <c:pt idx="22">
                  <c:v>0.82912430305018048</c:v>
                </c:pt>
                <c:pt idx="23">
                  <c:v>0.80964325529542913</c:v>
                </c:pt>
                <c:pt idx="24">
                  <c:v>0.80121654501216544</c:v>
                </c:pt>
                <c:pt idx="25">
                  <c:v>0.78889369057908387</c:v>
                </c:pt>
                <c:pt idx="26">
                  <c:v>0.78957680250783702</c:v>
                </c:pt>
                <c:pt idx="27">
                  <c:v>0.77702582368655393</c:v>
                </c:pt>
                <c:pt idx="28">
                  <c:v>0.74231242312423129</c:v>
                </c:pt>
                <c:pt idx="29">
                  <c:v>0.71778387066275884</c:v>
                </c:pt>
                <c:pt idx="30">
                  <c:v>0.70175303705981862</c:v>
                </c:pt>
                <c:pt idx="31">
                  <c:v>0.68596274904276722</c:v>
                </c:pt>
                <c:pt idx="32">
                  <c:v>0.66975152840877217</c:v>
                </c:pt>
                <c:pt idx="33">
                  <c:v>0.65594488774347026</c:v>
                </c:pt>
                <c:pt idx="34">
                  <c:v>0.64923669248332372</c:v>
                </c:pt>
                <c:pt idx="35">
                  <c:v>0.63857624639388888</c:v>
                </c:pt>
                <c:pt idx="36">
                  <c:v>0.62878253443730736</c:v>
                </c:pt>
                <c:pt idx="37">
                  <c:v>0.61844713280021879</c:v>
                </c:pt>
                <c:pt idx="38">
                  <c:v>0.61324342462688952</c:v>
                </c:pt>
                <c:pt idx="39">
                  <c:v>0.60718230394937156</c:v>
                </c:pt>
                <c:pt idx="40">
                  <c:v>0.60070067264574001</c:v>
                </c:pt>
                <c:pt idx="41">
                  <c:v>0.59319839340450276</c:v>
                </c:pt>
                <c:pt idx="42">
                  <c:v>0.58647685058216359</c:v>
                </c:pt>
                <c:pt idx="43">
                  <c:v>0.58189226323020804</c:v>
                </c:pt>
                <c:pt idx="44">
                  <c:v>0.57792545376460747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36-AA45-A647-E6A731EF0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(cnot count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guadalupe16!$K$1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guadalupe16!$A$2:$A$37</c:f>
              <c:numCache>
                <c:formatCode>General</c:formatCode>
                <c:ptCount val="36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</c:numCache>
            </c:numRef>
          </c:cat>
          <c:val>
            <c:numRef>
              <c:f>guadalupe16!$K$2:$K$37</c:f>
              <c:numCache>
                <c:formatCode>General</c:formatCode>
                <c:ptCount val="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93-7F43-8842-4CFD87BAE93B}"/>
            </c:ext>
          </c:extLst>
        </c:ser>
        <c:ser>
          <c:idx val="1"/>
          <c:order val="1"/>
          <c:tx>
            <c:strRef>
              <c:f>guadalupe16!$L$1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guadalupe16!$A$2:$A$37</c:f>
              <c:numCache>
                <c:formatCode>General</c:formatCode>
                <c:ptCount val="36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</c:numCache>
            </c:numRef>
          </c:cat>
          <c:val>
            <c:numRef>
              <c:f>guadalupe16!$L$2:$L$37</c:f>
              <c:numCache>
                <c:formatCode>0%</c:formatCode>
                <c:ptCount val="36"/>
                <c:pt idx="0">
                  <c:v>0.86411609498680741</c:v>
                </c:pt>
                <c:pt idx="1">
                  <c:v>0.82108183079056873</c:v>
                </c:pt>
                <c:pt idx="2">
                  <c:v>0.8649618663077614</c:v>
                </c:pt>
                <c:pt idx="3">
                  <c:v>0.90346702923181521</c:v>
                </c:pt>
                <c:pt idx="4">
                  <c:v>0.94100207530388369</c:v>
                </c:pt>
                <c:pt idx="5">
                  <c:v>0.95385422128998432</c:v>
                </c:pt>
                <c:pt idx="6">
                  <c:v>0.95910960561335579</c:v>
                </c:pt>
                <c:pt idx="7">
                  <c:v>0.96764115152867669</c:v>
                </c:pt>
                <c:pt idx="8">
                  <c:v>0.97007742205482328</c:v>
                </c:pt>
                <c:pt idx="9">
                  <c:v>0.97021108699940828</c:v>
                </c:pt>
                <c:pt idx="10">
                  <c:v>0.97596244131455412</c:v>
                </c:pt>
                <c:pt idx="11">
                  <c:v>0.97351581940988274</c:v>
                </c:pt>
                <c:pt idx="12">
                  <c:v>0.97698994375319581</c:v>
                </c:pt>
                <c:pt idx="13">
                  <c:v>0.97986906710310973</c:v>
                </c:pt>
                <c:pt idx="14">
                  <c:v>0.97871333964049201</c:v>
                </c:pt>
                <c:pt idx="15">
                  <c:v>0.97975830815709974</c:v>
                </c:pt>
                <c:pt idx="16">
                  <c:v>0.97906672481465329</c:v>
                </c:pt>
                <c:pt idx="17">
                  <c:v>0.9849486566324378</c:v>
                </c:pt>
                <c:pt idx="18">
                  <c:v>0.9759068760151598</c:v>
                </c:pt>
                <c:pt idx="19">
                  <c:v>0.9819926393270243</c:v>
                </c:pt>
                <c:pt idx="20">
                  <c:v>0.9846822808577923</c:v>
                </c:pt>
                <c:pt idx="21">
                  <c:v>0.98510570147341459</c:v>
                </c:pt>
                <c:pt idx="22">
                  <c:v>0.98571141074662916</c:v>
                </c:pt>
                <c:pt idx="23">
                  <c:v>0.9844090335893616</c:v>
                </c:pt>
                <c:pt idx="24">
                  <c:v>0.9886300469958057</c:v>
                </c:pt>
                <c:pt idx="25">
                  <c:v>0.98869012751768559</c:v>
                </c:pt>
                <c:pt idx="26">
                  <c:v>0.9853132099967542</c:v>
                </c:pt>
                <c:pt idx="27">
                  <c:v>0.98880527857063427</c:v>
                </c:pt>
                <c:pt idx="28">
                  <c:v>0.98586681004685461</c:v>
                </c:pt>
                <c:pt idx="29">
                  <c:v>0.9912010123779017</c:v>
                </c:pt>
                <c:pt idx="30">
                  <c:v>0.98964326812428072</c:v>
                </c:pt>
                <c:pt idx="31">
                  <c:v>0.99062212853359288</c:v>
                </c:pt>
                <c:pt idx="32">
                  <c:v>0.99144620914193704</c:v>
                </c:pt>
                <c:pt idx="33">
                  <c:v>0.99158594647841081</c:v>
                </c:pt>
                <c:pt idx="34">
                  <c:v>0.99033425081238324</c:v>
                </c:pt>
                <c:pt idx="35">
                  <c:v>0.99112844219768514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93-7F43-8842-4CFD87BAE93B}"/>
            </c:ext>
          </c:extLst>
        </c:ser>
        <c:ser>
          <c:idx val="2"/>
          <c:order val="2"/>
          <c:tx>
            <c:strRef>
              <c:f>guadalupe16!$M$1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guadalupe16!$A$2:$A$37</c:f>
              <c:numCache>
                <c:formatCode>General</c:formatCode>
                <c:ptCount val="36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</c:numCache>
            </c:numRef>
          </c:cat>
          <c:val>
            <c:numRef>
              <c:f>guadalupe16!$M$2:$M$37</c:f>
              <c:numCache>
                <c:formatCode>0%</c:formatCode>
                <c:ptCount val="36"/>
                <c:pt idx="0">
                  <c:v>1.2717678100263854</c:v>
                </c:pt>
                <c:pt idx="1">
                  <c:v>1.0520110957004161</c:v>
                </c:pt>
                <c:pt idx="2">
                  <c:v>0.97532525796321223</c:v>
                </c:pt>
                <c:pt idx="3">
                  <c:v>0.92794017675050988</c:v>
                </c:pt>
                <c:pt idx="4">
                  <c:v>0.93981618737029349</c:v>
                </c:pt>
                <c:pt idx="5">
                  <c:v>0.91557420031463033</c:v>
                </c:pt>
                <c:pt idx="6">
                  <c:v>0.92475199612872006</c:v>
                </c:pt>
                <c:pt idx="7">
                  <c:v>0.91408167819683106</c:v>
                </c:pt>
                <c:pt idx="8">
                  <c:v>0.90521029504080364</c:v>
                </c:pt>
                <c:pt idx="9">
                  <c:v>0.90530676662063525</c:v>
                </c:pt>
                <c:pt idx="10">
                  <c:v>0.90197183098591549</c:v>
                </c:pt>
                <c:pt idx="11">
                  <c:v>0.88570920725204405</c:v>
                </c:pt>
                <c:pt idx="12">
                  <c:v>0.89176751320947678</c:v>
                </c:pt>
                <c:pt idx="13">
                  <c:v>0.8826513911620294</c:v>
                </c:pt>
                <c:pt idx="14">
                  <c:v>0.88016398612425106</c:v>
                </c:pt>
                <c:pt idx="15">
                  <c:v>0.87703927492447131</c:v>
                </c:pt>
                <c:pt idx="16">
                  <c:v>0.87032998982410248</c:v>
                </c:pt>
                <c:pt idx="17">
                  <c:v>0.8663665775777184</c:v>
                </c:pt>
                <c:pt idx="18">
                  <c:v>0.86491608012994048</c:v>
                </c:pt>
                <c:pt idx="19">
                  <c:v>0.86211882229232384</c:v>
                </c:pt>
                <c:pt idx="20">
                  <c:v>0.83575452119774685</c:v>
                </c:pt>
                <c:pt idx="21">
                  <c:v>0.82246957078795635</c:v>
                </c:pt>
                <c:pt idx="22">
                  <c:v>0.8066680083182397</c:v>
                </c:pt>
                <c:pt idx="23">
                  <c:v>0.79714547747334641</c:v>
                </c:pt>
                <c:pt idx="24">
                  <c:v>0.78952953661124869</c:v>
                </c:pt>
                <c:pt idx="25">
                  <c:v>0.78403100076600718</c:v>
                </c:pt>
                <c:pt idx="26">
                  <c:v>0.77718273287893536</c:v>
                </c:pt>
                <c:pt idx="27">
                  <c:v>0.77232457278422362</c:v>
                </c:pt>
                <c:pt idx="28">
                  <c:v>0.7528996082648437</c:v>
                </c:pt>
                <c:pt idx="29">
                  <c:v>0.74251591726974331</c:v>
                </c:pt>
                <c:pt idx="30">
                  <c:v>0.73165196266462085</c:v>
                </c:pt>
                <c:pt idx="31">
                  <c:v>0.72524458137397985</c:v>
                </c:pt>
                <c:pt idx="32">
                  <c:v>0.71844841468964804</c:v>
                </c:pt>
                <c:pt idx="33">
                  <c:v>0.71163396814972912</c:v>
                </c:pt>
                <c:pt idx="34">
                  <c:v>0.70688845725437488</c:v>
                </c:pt>
                <c:pt idx="35">
                  <c:v>0.70209192497006789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3-7F43-8842-4CFD87BAE93B}"/>
            </c:ext>
          </c:extLst>
        </c:ser>
        <c:ser>
          <c:idx val="3"/>
          <c:order val="3"/>
          <c:tx>
            <c:strRef>
              <c:f>guadalupe16!$N$1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guadalupe16!$A$2:$A$37</c:f>
              <c:numCache>
                <c:formatCode>General</c:formatCode>
                <c:ptCount val="36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</c:numCache>
            </c:numRef>
          </c:cat>
          <c:val>
            <c:numRef>
              <c:f>guadalupe16!$N$2:$N$37</c:f>
              <c:numCache>
                <c:formatCode>0%</c:formatCode>
                <c:ptCount val="36"/>
                <c:pt idx="0">
                  <c:v>0.86279683377308714</c:v>
                </c:pt>
                <c:pt idx="1">
                  <c:v>0.71636615811373094</c:v>
                </c:pt>
                <c:pt idx="2">
                  <c:v>0.74786899955136821</c:v>
                </c:pt>
                <c:pt idx="3">
                  <c:v>0.80319510537049632</c:v>
                </c:pt>
                <c:pt idx="4">
                  <c:v>0.82448858582863926</c:v>
                </c:pt>
                <c:pt idx="5">
                  <c:v>0.8437336130047195</c:v>
                </c:pt>
                <c:pt idx="6">
                  <c:v>0.85095572223566407</c:v>
                </c:pt>
                <c:pt idx="7">
                  <c:v>0.86610131667038603</c:v>
                </c:pt>
                <c:pt idx="8">
                  <c:v>0.86084955011508679</c:v>
                </c:pt>
                <c:pt idx="9">
                  <c:v>0.86486486486486491</c:v>
                </c:pt>
                <c:pt idx="10">
                  <c:v>0.86497652582159623</c:v>
                </c:pt>
                <c:pt idx="11">
                  <c:v>0.85726981869889796</c:v>
                </c:pt>
                <c:pt idx="12">
                  <c:v>0.85801943071416387</c:v>
                </c:pt>
                <c:pt idx="13">
                  <c:v>0.85744680851063826</c:v>
                </c:pt>
                <c:pt idx="14">
                  <c:v>0.85777357300536106</c:v>
                </c:pt>
                <c:pt idx="15">
                  <c:v>0.85015105740181263</c:v>
                </c:pt>
                <c:pt idx="16">
                  <c:v>0.84954208460532055</c:v>
                </c:pt>
                <c:pt idx="17">
                  <c:v>0.8480798987199325</c:v>
                </c:pt>
                <c:pt idx="18">
                  <c:v>0.84001082837033036</c:v>
                </c:pt>
                <c:pt idx="19">
                  <c:v>0.84253417455310209</c:v>
                </c:pt>
                <c:pt idx="20">
                  <c:v>0.82172151398359528</c:v>
                </c:pt>
                <c:pt idx="21">
                  <c:v>0.8082959641255606</c:v>
                </c:pt>
                <c:pt idx="22">
                  <c:v>0.79895351177299256</c:v>
                </c:pt>
                <c:pt idx="23">
                  <c:v>0.787057205089992</c:v>
                </c:pt>
                <c:pt idx="24">
                  <c:v>0.78442569104047699</c:v>
                </c:pt>
                <c:pt idx="25">
                  <c:v>0.77587527598792405</c:v>
                </c:pt>
                <c:pt idx="26">
                  <c:v>0.77016390782213562</c:v>
                </c:pt>
                <c:pt idx="27">
                  <c:v>0.76754272157764025</c:v>
                </c:pt>
                <c:pt idx="28">
                  <c:v>0.74867501344189258</c:v>
                </c:pt>
                <c:pt idx="29">
                  <c:v>0.73980701546249061</c:v>
                </c:pt>
                <c:pt idx="30">
                  <c:v>0.73008566679452758</c:v>
                </c:pt>
                <c:pt idx="31">
                  <c:v>0.7229068698989245</c:v>
                </c:pt>
                <c:pt idx="32">
                  <c:v>0.7169313712905373</c:v>
                </c:pt>
                <c:pt idx="33">
                  <c:v>0.71103882777868987</c:v>
                </c:pt>
                <c:pt idx="34">
                  <c:v>0.70520385525310447</c:v>
                </c:pt>
                <c:pt idx="35">
                  <c:v>0.70143508048423564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193-7F43-8842-4CFD87BAE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pauli strings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(cnot depth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'guadalupe depth'!$K$1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'guadalupe depth'!$A$2:$A$37</c:f>
              <c:numCache>
                <c:formatCode>General</c:formatCode>
                <c:ptCount val="36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</c:numCache>
            </c:numRef>
          </c:cat>
          <c:val>
            <c:numRef>
              <c:f>'guadalupe depth'!$K$2:$K$37</c:f>
              <c:numCache>
                <c:formatCode>General</c:formatCode>
                <c:ptCount val="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0-DC48-9B62-04527295919B}"/>
            </c:ext>
          </c:extLst>
        </c:ser>
        <c:ser>
          <c:idx val="1"/>
          <c:order val="1"/>
          <c:tx>
            <c:strRef>
              <c:f>'guadalupe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 depth'!$A$2:$A$37</c:f>
              <c:numCache>
                <c:formatCode>General</c:formatCode>
                <c:ptCount val="36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</c:numCache>
            </c:numRef>
          </c:cat>
          <c:val>
            <c:numRef>
              <c:f>'guadalupe depth'!$L$2:$L$37</c:f>
              <c:numCache>
                <c:formatCode>0%</c:formatCode>
                <c:ptCount val="36"/>
                <c:pt idx="0">
                  <c:v>0.95215311004784686</c:v>
                </c:pt>
                <c:pt idx="1">
                  <c:v>0.93023255813953498</c:v>
                </c:pt>
                <c:pt idx="2">
                  <c:v>0.93119698397737982</c:v>
                </c:pt>
                <c:pt idx="3">
                  <c:v>0.95751138088012133</c:v>
                </c:pt>
                <c:pt idx="4">
                  <c:v>0.99380591878871294</c:v>
                </c:pt>
                <c:pt idx="5">
                  <c:v>1.0094043887147335</c:v>
                </c:pt>
                <c:pt idx="6">
                  <c:v>1.0041518386714117</c:v>
                </c:pt>
                <c:pt idx="7">
                  <c:v>1.0071902654867255</c:v>
                </c:pt>
                <c:pt idx="8">
                  <c:v>0.99631966351209256</c:v>
                </c:pt>
                <c:pt idx="9">
                  <c:v>1.0035587188612101</c:v>
                </c:pt>
                <c:pt idx="10">
                  <c:v>1.0054027504911591</c:v>
                </c:pt>
                <c:pt idx="11">
                  <c:v>1.0136534839924671</c:v>
                </c:pt>
                <c:pt idx="12">
                  <c:v>1.0206422018348624</c:v>
                </c:pt>
                <c:pt idx="13">
                  <c:v>1.0182222222222221</c:v>
                </c:pt>
                <c:pt idx="14">
                  <c:v>1.0189084658358403</c:v>
                </c:pt>
                <c:pt idx="15">
                  <c:v>1.0103177878662815</c:v>
                </c:pt>
                <c:pt idx="16">
                  <c:v>1.0137373737373738</c:v>
                </c:pt>
                <c:pt idx="17">
                  <c:v>1.015228426395939</c:v>
                </c:pt>
                <c:pt idx="18">
                  <c:v>1.013287775246773</c:v>
                </c:pt>
                <c:pt idx="19">
                  <c:v>1.0214814814814814</c:v>
                </c:pt>
                <c:pt idx="20">
                  <c:v>1.0216121495327104</c:v>
                </c:pt>
                <c:pt idx="21">
                  <c:v>1.0319590143937547</c:v>
                </c:pt>
                <c:pt idx="22">
                  <c:v>1.0237648530331458</c:v>
                </c:pt>
                <c:pt idx="23">
                  <c:v>1.0130357142857143</c:v>
                </c:pt>
                <c:pt idx="24">
                  <c:v>1.0242424242424244</c:v>
                </c:pt>
                <c:pt idx="25">
                  <c:v>0.99914809030242813</c:v>
                </c:pt>
                <c:pt idx="26">
                  <c:v>1.0237597911227154</c:v>
                </c:pt>
                <c:pt idx="27">
                  <c:v>1.0247726184777404</c:v>
                </c:pt>
                <c:pt idx="28">
                  <c:v>1.0217990478576799</c:v>
                </c:pt>
                <c:pt idx="29">
                  <c:v>1.0213896810993</c:v>
                </c:pt>
                <c:pt idx="30">
                  <c:v>1.0274990709773317</c:v>
                </c:pt>
                <c:pt idx="31">
                  <c:v>1.0343048515568429</c:v>
                </c:pt>
                <c:pt idx="32">
                  <c:v>1.0257928777370842</c:v>
                </c:pt>
                <c:pt idx="33">
                  <c:v>1.0206189092152504</c:v>
                </c:pt>
                <c:pt idx="34">
                  <c:v>1.0281750792039617</c:v>
                </c:pt>
                <c:pt idx="35">
                  <c:v>1.0340695748205411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20-DC48-9B62-04527295919B}"/>
            </c:ext>
          </c:extLst>
        </c:ser>
        <c:ser>
          <c:idx val="2"/>
          <c:order val="2"/>
          <c:tx>
            <c:strRef>
              <c:f>'guadalupe depth'!$M$1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'guadalupe depth'!$A$2:$A$37</c:f>
              <c:numCache>
                <c:formatCode>General</c:formatCode>
                <c:ptCount val="36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</c:numCache>
            </c:numRef>
          </c:cat>
          <c:val>
            <c:numRef>
              <c:f>'guadalupe depth'!$M$2:$M$37</c:f>
              <c:numCache>
                <c:formatCode>0%</c:formatCode>
                <c:ptCount val="36"/>
                <c:pt idx="0">
                  <c:v>1.389952153110048</c:v>
                </c:pt>
                <c:pt idx="1">
                  <c:v>1.1860465116279071</c:v>
                </c:pt>
                <c:pt idx="2">
                  <c:v>1.1074458058435439</c:v>
                </c:pt>
                <c:pt idx="3">
                  <c:v>1.0705614567526553</c:v>
                </c:pt>
                <c:pt idx="4">
                  <c:v>1.0977288368891946</c:v>
                </c:pt>
                <c:pt idx="5">
                  <c:v>1.1015673981191221</c:v>
                </c:pt>
                <c:pt idx="6">
                  <c:v>1.1150652431791221</c:v>
                </c:pt>
                <c:pt idx="7">
                  <c:v>1.1283185840707963</c:v>
                </c:pt>
                <c:pt idx="8">
                  <c:v>1.128286014721346</c:v>
                </c:pt>
                <c:pt idx="9">
                  <c:v>1.1520081342145398</c:v>
                </c:pt>
                <c:pt idx="10">
                  <c:v>1.1625736738703341</c:v>
                </c:pt>
                <c:pt idx="11">
                  <c:v>1.1633709981167608</c:v>
                </c:pt>
                <c:pt idx="12">
                  <c:v>1.1889908256880732</c:v>
                </c:pt>
                <c:pt idx="13">
                  <c:v>1.1906666666666665</c:v>
                </c:pt>
                <c:pt idx="14">
                  <c:v>1.1882251826385906</c:v>
                </c:pt>
                <c:pt idx="15">
                  <c:v>1.2001650846058605</c:v>
                </c:pt>
                <c:pt idx="16">
                  <c:v>1.2024242424242426</c:v>
                </c:pt>
                <c:pt idx="17">
                  <c:v>1.2038266302225693</c:v>
                </c:pt>
                <c:pt idx="18">
                  <c:v>1.2186788154897494</c:v>
                </c:pt>
                <c:pt idx="19">
                  <c:v>1.2248148148148148</c:v>
                </c:pt>
                <c:pt idx="20">
                  <c:v>1.2651869158878506</c:v>
                </c:pt>
                <c:pt idx="21">
                  <c:v>1.2922664064405955</c:v>
                </c:pt>
                <c:pt idx="22">
                  <c:v>1.2903898269751928</c:v>
                </c:pt>
                <c:pt idx="23">
                  <c:v>1.29125</c:v>
                </c:pt>
                <c:pt idx="24">
                  <c:v>1.3</c:v>
                </c:pt>
                <c:pt idx="25">
                  <c:v>1.2880874627289509</c:v>
                </c:pt>
                <c:pt idx="26">
                  <c:v>1.3096605744125327</c:v>
                </c:pt>
                <c:pt idx="27">
                  <c:v>1.3105552896122545</c:v>
                </c:pt>
                <c:pt idx="28">
                  <c:v>1.3013446922241709</c:v>
                </c:pt>
                <c:pt idx="29">
                  <c:v>1.293557168784029</c:v>
                </c:pt>
                <c:pt idx="30">
                  <c:v>1.2989860381164728</c:v>
                </c:pt>
                <c:pt idx="31">
                  <c:v>1.303086531498914</c:v>
                </c:pt>
                <c:pt idx="32">
                  <c:v>1.2866438089301022</c:v>
                </c:pt>
                <c:pt idx="33">
                  <c:v>1.2712600444520432</c:v>
                </c:pt>
                <c:pt idx="34">
                  <c:v>1.2688320876011199</c:v>
                </c:pt>
                <c:pt idx="35">
                  <c:v>1.2512700165654336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20-DC48-9B62-04527295919B}"/>
            </c:ext>
          </c:extLst>
        </c:ser>
        <c:ser>
          <c:idx val="3"/>
          <c:order val="3"/>
          <c:tx>
            <c:strRef>
              <c:f>'guadalupe depth'!$N$1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 depth'!$A$2:$A$37</c:f>
              <c:numCache>
                <c:formatCode>General</c:formatCode>
                <c:ptCount val="36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</c:numCache>
            </c:numRef>
          </c:cat>
          <c:val>
            <c:numRef>
              <c:f>'guadalupe depth'!$N$2:$N$37</c:f>
              <c:numCache>
                <c:formatCode>0%</c:formatCode>
                <c:ptCount val="36"/>
                <c:pt idx="0">
                  <c:v>0.98803827751196172</c:v>
                </c:pt>
                <c:pt idx="1">
                  <c:v>0.86320109439124493</c:v>
                </c:pt>
                <c:pt idx="2">
                  <c:v>0.88030160226201704</c:v>
                </c:pt>
                <c:pt idx="3">
                  <c:v>0.95144157814871011</c:v>
                </c:pt>
                <c:pt idx="4">
                  <c:v>0.98554714384033015</c:v>
                </c:pt>
                <c:pt idx="5">
                  <c:v>1.0188087774294672</c:v>
                </c:pt>
                <c:pt idx="6">
                  <c:v>1.0563463819691579</c:v>
                </c:pt>
                <c:pt idx="7">
                  <c:v>1.0663716814159292</c:v>
                </c:pt>
                <c:pt idx="8">
                  <c:v>1.0757097791798107</c:v>
                </c:pt>
                <c:pt idx="9">
                  <c:v>1.1057447890188103</c:v>
                </c:pt>
                <c:pt idx="10">
                  <c:v>1.1316306483300591</c:v>
                </c:pt>
                <c:pt idx="11">
                  <c:v>1.1365348399246704</c:v>
                </c:pt>
                <c:pt idx="12">
                  <c:v>1.1444954128440368</c:v>
                </c:pt>
                <c:pt idx="13">
                  <c:v>1.1635555555555557</c:v>
                </c:pt>
                <c:pt idx="14">
                  <c:v>1.1658788139235068</c:v>
                </c:pt>
                <c:pt idx="15">
                  <c:v>1.1617829137432933</c:v>
                </c:pt>
                <c:pt idx="16">
                  <c:v>1.1806060606060607</c:v>
                </c:pt>
                <c:pt idx="17">
                  <c:v>1.1815696993361968</c:v>
                </c:pt>
                <c:pt idx="18">
                  <c:v>1.1864085041761581</c:v>
                </c:pt>
                <c:pt idx="19">
                  <c:v>1.1918518518518519</c:v>
                </c:pt>
                <c:pt idx="20">
                  <c:v>1.2400700934579441</c:v>
                </c:pt>
                <c:pt idx="21">
                  <c:v>1.2627470114662114</c:v>
                </c:pt>
                <c:pt idx="22">
                  <c:v>1.2851782363977486</c:v>
                </c:pt>
                <c:pt idx="23">
                  <c:v>1.2764285714285712</c:v>
                </c:pt>
                <c:pt idx="24">
                  <c:v>1.2944178628389156</c:v>
                </c:pt>
                <c:pt idx="25">
                  <c:v>1.2747408774669886</c:v>
                </c:pt>
                <c:pt idx="26">
                  <c:v>1.3031331592689295</c:v>
                </c:pt>
                <c:pt idx="27">
                  <c:v>1.2971517472474869</c:v>
                </c:pt>
                <c:pt idx="28">
                  <c:v>1.2959993318299508</c:v>
                </c:pt>
                <c:pt idx="29">
                  <c:v>1.2908996629504796</c:v>
                </c:pt>
                <c:pt idx="30">
                  <c:v>1.2926686839730317</c:v>
                </c:pt>
                <c:pt idx="31">
                  <c:v>1.2941708906589429</c:v>
                </c:pt>
                <c:pt idx="32">
                  <c:v>1.2834878828021508</c:v>
                </c:pt>
                <c:pt idx="33">
                  <c:v>1.2663703197127714</c:v>
                </c:pt>
                <c:pt idx="34">
                  <c:v>1.2651410291901204</c:v>
                </c:pt>
                <c:pt idx="35">
                  <c:v>1.2527609055770292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20-DC48-9B62-0452729591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pauli strings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330200</xdr:colOff>
      <xdr:row>10</xdr:row>
      <xdr:rowOff>25400</xdr:rowOff>
    </xdr:from>
    <xdr:to>
      <xdr:col>21</xdr:col>
      <xdr:colOff>317500</xdr:colOff>
      <xdr:row>38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591B87-4DFA-D7AF-9432-244B1870F8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177800</xdr:colOff>
      <xdr:row>8</xdr:row>
      <xdr:rowOff>152400</xdr:rowOff>
    </xdr:from>
    <xdr:to>
      <xdr:col>21</xdr:col>
      <xdr:colOff>165100</xdr:colOff>
      <xdr:row>37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467871-DDAF-D348-B1A1-08F74A7BE2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546100</xdr:colOff>
      <xdr:row>12</xdr:row>
      <xdr:rowOff>177800</xdr:rowOff>
    </xdr:from>
    <xdr:to>
      <xdr:col>19</xdr:col>
      <xdr:colOff>533400</xdr:colOff>
      <xdr:row>41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037AE4-E1B9-5D48-8015-86E5FFDCF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546100</xdr:colOff>
      <xdr:row>12</xdr:row>
      <xdr:rowOff>177800</xdr:rowOff>
    </xdr:from>
    <xdr:to>
      <xdr:col>19</xdr:col>
      <xdr:colOff>533400</xdr:colOff>
      <xdr:row>41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B5379-7FD6-E745-A953-4E2855D986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469900</xdr:colOff>
      <xdr:row>3</xdr:row>
      <xdr:rowOff>127000</xdr:rowOff>
    </xdr:from>
    <xdr:to>
      <xdr:col>16</xdr:col>
      <xdr:colOff>457200</xdr:colOff>
      <xdr:row>32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418264-29CF-184E-B8F4-0121697A0B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508000</xdr:colOff>
      <xdr:row>5</xdr:row>
      <xdr:rowOff>63500</xdr:rowOff>
    </xdr:from>
    <xdr:to>
      <xdr:col>20</xdr:col>
      <xdr:colOff>495300</xdr:colOff>
      <xdr:row>33</xdr:row>
      <xdr:rowOff>158750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B3301A6-7832-B860-760E-0BC82F4418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165100</xdr:colOff>
      <xdr:row>2</xdr:row>
      <xdr:rowOff>63500</xdr:rowOff>
    </xdr:from>
    <xdr:to>
      <xdr:col>21</xdr:col>
      <xdr:colOff>152400</xdr:colOff>
      <xdr:row>30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E9C460-6B38-D647-994F-56735FBA54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165100</xdr:colOff>
      <xdr:row>2</xdr:row>
      <xdr:rowOff>63500</xdr:rowOff>
    </xdr:from>
    <xdr:to>
      <xdr:col>21</xdr:col>
      <xdr:colOff>152400</xdr:colOff>
      <xdr:row>30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D152F2-9FD2-434C-8980-2FD8CF7745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ACF18-5131-0846-91EB-6262D6E37819}">
  <dimension ref="A1:N55"/>
  <sheetViews>
    <sheetView workbookViewId="0">
      <selection activeCell="J1" sqref="J1:J46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67</v>
      </c>
      <c r="K1" t="s">
        <v>60</v>
      </c>
      <c r="L1" t="s">
        <v>61</v>
      </c>
      <c r="M1" t="s">
        <v>5</v>
      </c>
      <c r="N1" t="s">
        <v>57</v>
      </c>
    </row>
    <row r="2" spans="1:14" x14ac:dyDescent="0.2">
      <c r="A2">
        <v>2</v>
      </c>
      <c r="B2">
        <v>17</v>
      </c>
      <c r="C2">
        <v>1.7</v>
      </c>
      <c r="D2">
        <v>12.5</v>
      </c>
      <c r="E2">
        <v>1.5</v>
      </c>
      <c r="F2">
        <v>16.7</v>
      </c>
      <c r="G2">
        <v>3.8</v>
      </c>
      <c r="H2">
        <v>11</v>
      </c>
      <c r="I2">
        <v>3.6</v>
      </c>
      <c r="J2" s="1">
        <f t="shared" ref="J2:J46" si="0">I2/E2</f>
        <v>2.4</v>
      </c>
      <c r="K2">
        <v>1</v>
      </c>
      <c r="L2" s="1">
        <f t="shared" ref="L2:L29" si="1">D2/B2</f>
        <v>0.73529411764705888</v>
      </c>
      <c r="M2" s="1">
        <f t="shared" ref="M2:M29" si="2">F2/B2</f>
        <v>0.98235294117647054</v>
      </c>
      <c r="N2" s="1">
        <f t="shared" ref="N2:N29" si="3">H2/B2</f>
        <v>0.6470588235294118</v>
      </c>
    </row>
    <row r="3" spans="1:14" x14ac:dyDescent="0.2">
      <c r="A3">
        <v>4</v>
      </c>
      <c r="B3">
        <v>27.6</v>
      </c>
      <c r="C3">
        <v>2.6</v>
      </c>
      <c r="D3">
        <v>23</v>
      </c>
      <c r="E3">
        <v>2.4</v>
      </c>
      <c r="F3">
        <v>24.9</v>
      </c>
      <c r="G3">
        <v>4.4000000000000004</v>
      </c>
      <c r="H3">
        <v>19.600000000000001</v>
      </c>
      <c r="I3">
        <v>4.2</v>
      </c>
      <c r="J3" s="1">
        <f t="shared" si="0"/>
        <v>1.7500000000000002</v>
      </c>
      <c r="K3">
        <v>1</v>
      </c>
      <c r="L3" s="1">
        <f t="shared" si="1"/>
        <v>0.83333333333333326</v>
      </c>
      <c r="M3" s="1">
        <f t="shared" si="2"/>
        <v>0.90217391304347816</v>
      </c>
      <c r="N3" s="1">
        <f t="shared" si="3"/>
        <v>0.71014492753623193</v>
      </c>
    </row>
    <row r="4" spans="1:14" x14ac:dyDescent="0.2">
      <c r="A4">
        <v>6</v>
      </c>
      <c r="B4">
        <v>37.700000000000003</v>
      </c>
      <c r="C4">
        <v>3.6</v>
      </c>
      <c r="D4">
        <v>32.799999999999997</v>
      </c>
      <c r="E4">
        <v>3.2</v>
      </c>
      <c r="F4">
        <v>32.200000000000003</v>
      </c>
      <c r="G4">
        <v>5.2</v>
      </c>
      <c r="H4">
        <v>26.8</v>
      </c>
      <c r="I4">
        <v>4.8</v>
      </c>
      <c r="J4" s="1">
        <f t="shared" si="0"/>
        <v>1.4999999999999998</v>
      </c>
      <c r="K4">
        <v>1</v>
      </c>
      <c r="L4" s="1">
        <f t="shared" si="1"/>
        <v>0.87002652519893886</v>
      </c>
      <c r="M4" s="1">
        <f t="shared" si="2"/>
        <v>0.85411140583554379</v>
      </c>
      <c r="N4" s="1">
        <f t="shared" si="3"/>
        <v>0.71087533156498672</v>
      </c>
    </row>
    <row r="5" spans="1:14" x14ac:dyDescent="0.2">
      <c r="A5">
        <v>8</v>
      </c>
      <c r="B5">
        <v>48.2</v>
      </c>
      <c r="C5">
        <v>4.4000000000000004</v>
      </c>
      <c r="D5">
        <v>42.2</v>
      </c>
      <c r="E5">
        <v>4.3</v>
      </c>
      <c r="F5">
        <v>39.799999999999997</v>
      </c>
      <c r="G5">
        <v>6.2</v>
      </c>
      <c r="H5">
        <v>35</v>
      </c>
      <c r="I5">
        <v>5.3</v>
      </c>
      <c r="J5" s="1">
        <f t="shared" si="0"/>
        <v>1.2325581395348837</v>
      </c>
      <c r="K5">
        <v>1</v>
      </c>
      <c r="L5" s="1">
        <f t="shared" si="1"/>
        <v>0.87551867219917012</v>
      </c>
      <c r="M5" s="1">
        <f t="shared" si="2"/>
        <v>0.82572614107883802</v>
      </c>
      <c r="N5" s="1">
        <f t="shared" si="3"/>
        <v>0.72614107883817425</v>
      </c>
    </row>
    <row r="6" spans="1:14" x14ac:dyDescent="0.2">
      <c r="A6">
        <v>10</v>
      </c>
      <c r="B6">
        <v>55</v>
      </c>
      <c r="C6">
        <v>5.2</v>
      </c>
      <c r="D6">
        <v>49.5</v>
      </c>
      <c r="E6">
        <v>5.2</v>
      </c>
      <c r="F6">
        <v>45</v>
      </c>
      <c r="G6">
        <v>6.2</v>
      </c>
      <c r="H6">
        <v>40.4</v>
      </c>
      <c r="I6">
        <v>5.8</v>
      </c>
      <c r="J6" s="1">
        <f t="shared" si="0"/>
        <v>1.1153846153846154</v>
      </c>
      <c r="K6">
        <v>1</v>
      </c>
      <c r="L6" s="1">
        <f t="shared" si="1"/>
        <v>0.9</v>
      </c>
      <c r="M6" s="1">
        <f t="shared" si="2"/>
        <v>0.81818181818181823</v>
      </c>
      <c r="N6" s="1">
        <f t="shared" si="3"/>
        <v>0.7345454545454545</v>
      </c>
    </row>
    <row r="7" spans="1:14" x14ac:dyDescent="0.2">
      <c r="A7">
        <v>12</v>
      </c>
      <c r="B7">
        <v>62.1</v>
      </c>
      <c r="C7">
        <v>6.2</v>
      </c>
      <c r="D7">
        <v>57.7</v>
      </c>
      <c r="E7">
        <v>5.9</v>
      </c>
      <c r="F7">
        <v>49.8</v>
      </c>
      <c r="G7">
        <v>7.4</v>
      </c>
      <c r="H7">
        <v>46.9</v>
      </c>
      <c r="I7">
        <v>6.8</v>
      </c>
      <c r="J7" s="1">
        <f t="shared" si="0"/>
        <v>1.1525423728813557</v>
      </c>
      <c r="K7">
        <v>1</v>
      </c>
      <c r="L7" s="1">
        <f t="shared" si="1"/>
        <v>0.92914653784219003</v>
      </c>
      <c r="M7" s="1">
        <f t="shared" si="2"/>
        <v>0.80193236714975835</v>
      </c>
      <c r="N7" s="1">
        <f t="shared" si="3"/>
        <v>0.75523349436392906</v>
      </c>
    </row>
    <row r="8" spans="1:14" x14ac:dyDescent="0.2">
      <c r="A8">
        <v>14</v>
      </c>
      <c r="B8">
        <v>69.099999999999994</v>
      </c>
      <c r="C8">
        <v>7.1</v>
      </c>
      <c r="D8">
        <v>64.3</v>
      </c>
      <c r="E8">
        <v>6.8</v>
      </c>
      <c r="F8">
        <v>54.3</v>
      </c>
      <c r="G8">
        <v>7.7</v>
      </c>
      <c r="H8">
        <v>51.8</v>
      </c>
      <c r="I8">
        <v>7.2</v>
      </c>
      <c r="J8" s="1">
        <f t="shared" si="0"/>
        <v>1.0588235294117647</v>
      </c>
      <c r="K8">
        <v>1</v>
      </c>
      <c r="L8" s="1">
        <f t="shared" si="1"/>
        <v>0.93053545586107089</v>
      </c>
      <c r="M8" s="1">
        <f t="shared" si="2"/>
        <v>0.7858176555716353</v>
      </c>
      <c r="N8" s="1">
        <f t="shared" si="3"/>
        <v>0.7496382054992764</v>
      </c>
    </row>
    <row r="9" spans="1:14" x14ac:dyDescent="0.2">
      <c r="A9">
        <v>16</v>
      </c>
      <c r="B9">
        <v>74.900000000000006</v>
      </c>
      <c r="C9">
        <v>7.9</v>
      </c>
      <c r="D9">
        <v>71</v>
      </c>
      <c r="E9">
        <v>7.7</v>
      </c>
      <c r="F9">
        <v>59</v>
      </c>
      <c r="G9">
        <v>8.5</v>
      </c>
      <c r="H9">
        <v>55.6</v>
      </c>
      <c r="I9">
        <v>7.8</v>
      </c>
      <c r="J9" s="1">
        <f t="shared" si="0"/>
        <v>1.0129870129870129</v>
      </c>
      <c r="K9">
        <v>1</v>
      </c>
      <c r="L9" s="1">
        <f t="shared" si="1"/>
        <v>0.94793057409879833</v>
      </c>
      <c r="M9" s="1">
        <f t="shared" si="2"/>
        <v>0.7877169559412549</v>
      </c>
      <c r="N9" s="1">
        <f t="shared" si="3"/>
        <v>0.74232309746328429</v>
      </c>
    </row>
    <row r="10" spans="1:14" x14ac:dyDescent="0.2">
      <c r="A10">
        <v>18</v>
      </c>
      <c r="B10">
        <v>81.099999999999994</v>
      </c>
      <c r="C10">
        <v>9</v>
      </c>
      <c r="D10">
        <v>76.8</v>
      </c>
      <c r="E10">
        <v>8.3000000000000007</v>
      </c>
      <c r="F10">
        <v>62.9</v>
      </c>
      <c r="G10">
        <v>8.6999999999999993</v>
      </c>
      <c r="H10">
        <v>59.3</v>
      </c>
      <c r="I10">
        <v>8.5</v>
      </c>
      <c r="J10" s="1">
        <f t="shared" si="0"/>
        <v>1.0240963855421685</v>
      </c>
      <c r="K10">
        <v>1</v>
      </c>
      <c r="L10" s="1">
        <f t="shared" si="1"/>
        <v>0.94697903822441432</v>
      </c>
      <c r="M10" s="1">
        <f t="shared" si="2"/>
        <v>0.77558569667077681</v>
      </c>
      <c r="N10" s="1">
        <f t="shared" si="3"/>
        <v>0.73119605425400747</v>
      </c>
    </row>
    <row r="11" spans="1:14" x14ac:dyDescent="0.2">
      <c r="A11">
        <v>20</v>
      </c>
      <c r="B11">
        <v>86</v>
      </c>
      <c r="C11">
        <v>9.6</v>
      </c>
      <c r="D11">
        <v>82</v>
      </c>
      <c r="E11">
        <v>9.3000000000000007</v>
      </c>
      <c r="F11">
        <v>65.2</v>
      </c>
      <c r="G11">
        <v>9.1999999999999993</v>
      </c>
      <c r="H11">
        <v>63.1</v>
      </c>
      <c r="I11">
        <v>9.1</v>
      </c>
      <c r="J11" s="1">
        <f t="shared" si="0"/>
        <v>0.97849462365591389</v>
      </c>
      <c r="K11">
        <v>1</v>
      </c>
      <c r="L11" s="1">
        <f t="shared" si="1"/>
        <v>0.95348837209302328</v>
      </c>
      <c r="M11" s="1">
        <f t="shared" si="2"/>
        <v>0.75813953488372099</v>
      </c>
      <c r="N11" s="1">
        <f t="shared" si="3"/>
        <v>0.73372093023255813</v>
      </c>
    </row>
    <row r="12" spans="1:14" x14ac:dyDescent="0.2">
      <c r="A12">
        <v>22</v>
      </c>
      <c r="B12">
        <v>92.1</v>
      </c>
      <c r="C12">
        <v>10.9</v>
      </c>
      <c r="D12">
        <v>88.3</v>
      </c>
      <c r="E12">
        <v>10.199999999999999</v>
      </c>
      <c r="F12">
        <v>68.8</v>
      </c>
      <c r="G12">
        <v>9.8000000000000007</v>
      </c>
      <c r="H12">
        <v>67.599999999999994</v>
      </c>
      <c r="I12">
        <v>9.6999999999999993</v>
      </c>
      <c r="J12" s="1">
        <f t="shared" si="0"/>
        <v>0.9509803921568627</v>
      </c>
      <c r="K12">
        <v>1</v>
      </c>
      <c r="L12" s="1">
        <f t="shared" si="1"/>
        <v>0.95874049945711182</v>
      </c>
      <c r="M12" s="1">
        <f t="shared" si="2"/>
        <v>0.74701411509229099</v>
      </c>
      <c r="N12" s="1">
        <f t="shared" si="3"/>
        <v>0.73398479913137893</v>
      </c>
    </row>
    <row r="13" spans="1:14" x14ac:dyDescent="0.2">
      <c r="A13">
        <v>24</v>
      </c>
      <c r="B13">
        <v>98.2</v>
      </c>
      <c r="C13">
        <v>11.5</v>
      </c>
      <c r="D13">
        <v>94.3</v>
      </c>
      <c r="E13">
        <v>11.1</v>
      </c>
      <c r="F13">
        <v>72.7</v>
      </c>
      <c r="G13">
        <v>10.4</v>
      </c>
      <c r="H13">
        <v>70.099999999999994</v>
      </c>
      <c r="I13">
        <v>10.4</v>
      </c>
      <c r="J13" s="1">
        <f t="shared" si="0"/>
        <v>0.93693693693693703</v>
      </c>
      <c r="K13">
        <v>1</v>
      </c>
      <c r="L13" s="1">
        <f t="shared" si="1"/>
        <v>0.96028513238289204</v>
      </c>
      <c r="M13" s="1">
        <f t="shared" si="2"/>
        <v>0.74032586558044811</v>
      </c>
      <c r="N13" s="1">
        <f t="shared" si="3"/>
        <v>0.71384928716904272</v>
      </c>
    </row>
    <row r="14" spans="1:14" x14ac:dyDescent="0.2">
      <c r="A14">
        <v>26</v>
      </c>
      <c r="B14">
        <v>106.1</v>
      </c>
      <c r="C14">
        <v>12.9</v>
      </c>
      <c r="D14">
        <v>100.9</v>
      </c>
      <c r="E14">
        <v>12.2</v>
      </c>
      <c r="F14">
        <v>76.900000000000006</v>
      </c>
      <c r="G14">
        <v>11.4</v>
      </c>
      <c r="H14">
        <v>75</v>
      </c>
      <c r="I14">
        <v>10.8</v>
      </c>
      <c r="J14" s="1">
        <f t="shared" si="0"/>
        <v>0.88524590163934436</v>
      </c>
      <c r="K14">
        <v>1</v>
      </c>
      <c r="L14" s="1">
        <f t="shared" si="1"/>
        <v>0.95098963242224333</v>
      </c>
      <c r="M14" s="1">
        <f t="shared" si="2"/>
        <v>0.7247879359095194</v>
      </c>
      <c r="N14" s="1">
        <f t="shared" si="3"/>
        <v>0.70688030160226201</v>
      </c>
    </row>
    <row r="15" spans="1:14" x14ac:dyDescent="0.2">
      <c r="A15">
        <v>28</v>
      </c>
      <c r="B15">
        <v>109.2</v>
      </c>
      <c r="C15">
        <v>14.2</v>
      </c>
      <c r="D15">
        <v>105.3</v>
      </c>
      <c r="E15">
        <v>13.7</v>
      </c>
      <c r="F15">
        <v>79</v>
      </c>
      <c r="G15">
        <v>12.1</v>
      </c>
      <c r="H15">
        <v>76.900000000000006</v>
      </c>
      <c r="I15">
        <v>12</v>
      </c>
      <c r="J15" s="1">
        <f t="shared" si="0"/>
        <v>0.87591240875912413</v>
      </c>
      <c r="K15">
        <v>1</v>
      </c>
      <c r="L15" s="1">
        <f t="shared" si="1"/>
        <v>0.96428571428571419</v>
      </c>
      <c r="M15" s="1">
        <f t="shared" si="2"/>
        <v>0.72344322344322343</v>
      </c>
      <c r="N15" s="1">
        <f t="shared" si="3"/>
        <v>0.70421245421245426</v>
      </c>
    </row>
    <row r="16" spans="1:14" x14ac:dyDescent="0.2">
      <c r="A16">
        <v>30</v>
      </c>
      <c r="B16">
        <v>115.2</v>
      </c>
      <c r="C16">
        <v>15.4</v>
      </c>
      <c r="D16">
        <v>110.6</v>
      </c>
      <c r="E16">
        <v>14.7</v>
      </c>
      <c r="F16">
        <v>82.9</v>
      </c>
      <c r="G16">
        <v>13.2</v>
      </c>
      <c r="H16">
        <v>80.099999999999994</v>
      </c>
      <c r="I16">
        <v>12.4</v>
      </c>
      <c r="J16" s="1">
        <f t="shared" si="0"/>
        <v>0.84353741496598644</v>
      </c>
      <c r="K16">
        <v>1</v>
      </c>
      <c r="L16" s="1">
        <f t="shared" si="1"/>
        <v>0.96006944444444442</v>
      </c>
      <c r="M16" s="1">
        <f t="shared" si="2"/>
        <v>0.71961805555555558</v>
      </c>
      <c r="N16" s="1">
        <f t="shared" si="3"/>
        <v>0.69531249999999989</v>
      </c>
    </row>
    <row r="17" spans="1:14" x14ac:dyDescent="0.2">
      <c r="A17">
        <v>32</v>
      </c>
      <c r="B17">
        <v>119.1</v>
      </c>
      <c r="C17">
        <v>15.9</v>
      </c>
      <c r="D17">
        <v>115.2</v>
      </c>
      <c r="E17">
        <v>15.6</v>
      </c>
      <c r="F17">
        <v>84.4</v>
      </c>
      <c r="G17">
        <v>13</v>
      </c>
      <c r="H17">
        <v>82.7</v>
      </c>
      <c r="I17">
        <v>13</v>
      </c>
      <c r="J17" s="1">
        <f t="shared" si="0"/>
        <v>0.83333333333333337</v>
      </c>
      <c r="K17">
        <v>1</v>
      </c>
      <c r="L17" s="1">
        <f t="shared" si="1"/>
        <v>0.96725440806045349</v>
      </c>
      <c r="M17" s="1">
        <f t="shared" si="2"/>
        <v>0.70864819479429064</v>
      </c>
      <c r="N17" s="1">
        <f t="shared" si="3"/>
        <v>0.69437447523089846</v>
      </c>
    </row>
    <row r="18" spans="1:14" x14ac:dyDescent="0.2">
      <c r="A18">
        <v>34</v>
      </c>
      <c r="B18">
        <v>125.4</v>
      </c>
      <c r="C18">
        <v>18</v>
      </c>
      <c r="D18">
        <v>120.5</v>
      </c>
      <c r="E18">
        <v>16.600000000000001</v>
      </c>
      <c r="F18">
        <v>87.5</v>
      </c>
      <c r="G18">
        <v>14</v>
      </c>
      <c r="H18">
        <v>85.4</v>
      </c>
      <c r="I18">
        <v>13.6</v>
      </c>
      <c r="J18" s="1">
        <f t="shared" si="0"/>
        <v>0.8192771084337348</v>
      </c>
      <c r="K18">
        <v>1</v>
      </c>
      <c r="L18" s="1">
        <f t="shared" si="1"/>
        <v>0.96092503987240829</v>
      </c>
      <c r="M18" s="1">
        <f t="shared" si="2"/>
        <v>0.69776714513556615</v>
      </c>
      <c r="N18" s="1">
        <f t="shared" si="3"/>
        <v>0.68102073365231264</v>
      </c>
    </row>
    <row r="19" spans="1:14" x14ac:dyDescent="0.2">
      <c r="A19">
        <v>36</v>
      </c>
      <c r="B19">
        <v>131.19999999999999</v>
      </c>
      <c r="C19">
        <v>18.8</v>
      </c>
      <c r="D19">
        <v>127.5</v>
      </c>
      <c r="E19">
        <v>18</v>
      </c>
      <c r="F19">
        <v>91.7</v>
      </c>
      <c r="G19">
        <v>14.9</v>
      </c>
      <c r="H19">
        <v>90.4</v>
      </c>
      <c r="I19">
        <v>14.5</v>
      </c>
      <c r="J19" s="1">
        <f t="shared" si="0"/>
        <v>0.80555555555555558</v>
      </c>
      <c r="K19">
        <v>1</v>
      </c>
      <c r="L19" s="1">
        <f t="shared" si="1"/>
        <v>0.97179878048780499</v>
      </c>
      <c r="M19" s="1">
        <f t="shared" si="2"/>
        <v>0.69893292682926833</v>
      </c>
      <c r="N19" s="1">
        <f t="shared" si="3"/>
        <v>0.6890243902439025</v>
      </c>
    </row>
    <row r="20" spans="1:14" x14ac:dyDescent="0.2">
      <c r="A20">
        <v>38</v>
      </c>
      <c r="B20">
        <v>136.1</v>
      </c>
      <c r="C20">
        <v>19.2</v>
      </c>
      <c r="D20">
        <v>131.80000000000001</v>
      </c>
      <c r="E20">
        <v>18.8</v>
      </c>
      <c r="F20">
        <v>93.5</v>
      </c>
      <c r="G20">
        <v>15.3</v>
      </c>
      <c r="H20">
        <v>92.9</v>
      </c>
      <c r="I20">
        <v>15</v>
      </c>
      <c r="J20" s="1">
        <f t="shared" si="0"/>
        <v>0.7978723404255319</v>
      </c>
      <c r="K20">
        <v>1</v>
      </c>
      <c r="L20" s="1">
        <f t="shared" si="1"/>
        <v>0.96840558412931677</v>
      </c>
      <c r="M20" s="1">
        <f t="shared" si="2"/>
        <v>0.68699485672299787</v>
      </c>
      <c r="N20" s="1">
        <f t="shared" si="3"/>
        <v>0.68258633357825138</v>
      </c>
    </row>
    <row r="21" spans="1:14" x14ac:dyDescent="0.2">
      <c r="A21">
        <v>40</v>
      </c>
      <c r="B21">
        <v>140.80000000000001</v>
      </c>
      <c r="C21">
        <v>21.3</v>
      </c>
      <c r="D21">
        <v>136.5</v>
      </c>
      <c r="E21">
        <v>20.100000000000001</v>
      </c>
      <c r="F21">
        <v>97</v>
      </c>
      <c r="G21">
        <v>16.5</v>
      </c>
      <c r="H21">
        <v>94.9</v>
      </c>
      <c r="I21">
        <v>15.8</v>
      </c>
      <c r="J21" s="1">
        <f t="shared" si="0"/>
        <v>0.78606965174129351</v>
      </c>
      <c r="K21">
        <v>1</v>
      </c>
      <c r="L21" s="1">
        <f t="shared" si="1"/>
        <v>0.96946022727272718</v>
      </c>
      <c r="M21" s="1">
        <f t="shared" si="2"/>
        <v>0.68892045454545447</v>
      </c>
      <c r="N21" s="1">
        <f t="shared" si="3"/>
        <v>0.67400568181818177</v>
      </c>
    </row>
    <row r="22" spans="1:14" x14ac:dyDescent="0.2">
      <c r="A22">
        <v>60</v>
      </c>
      <c r="B22">
        <v>190.2</v>
      </c>
      <c r="C22">
        <v>36.799999999999997</v>
      </c>
      <c r="D22">
        <v>186.2</v>
      </c>
      <c r="E22">
        <v>35.4</v>
      </c>
      <c r="F22">
        <v>121.7</v>
      </c>
      <c r="G22">
        <v>25.6</v>
      </c>
      <c r="H22">
        <v>120.6</v>
      </c>
      <c r="I22">
        <v>24.8</v>
      </c>
      <c r="J22" s="1">
        <f t="shared" si="0"/>
        <v>0.70056497175141252</v>
      </c>
      <c r="K22">
        <v>1</v>
      </c>
      <c r="L22" s="1">
        <f t="shared" si="1"/>
        <v>0.97896950578338593</v>
      </c>
      <c r="M22" s="1">
        <f t="shared" si="2"/>
        <v>0.63985278654048372</v>
      </c>
      <c r="N22" s="1">
        <f t="shared" si="3"/>
        <v>0.63406940063091488</v>
      </c>
    </row>
    <row r="23" spans="1:14" x14ac:dyDescent="0.2">
      <c r="A23">
        <v>80</v>
      </c>
      <c r="B23">
        <v>236.6</v>
      </c>
      <c r="C23">
        <v>56.6</v>
      </c>
      <c r="D23">
        <v>231.5</v>
      </c>
      <c r="E23">
        <v>55.7</v>
      </c>
      <c r="F23">
        <v>145.1</v>
      </c>
      <c r="G23">
        <v>37.4</v>
      </c>
      <c r="H23">
        <v>143.69999999999999</v>
      </c>
      <c r="I23">
        <v>36.6</v>
      </c>
      <c r="J23" s="1">
        <f t="shared" si="0"/>
        <v>0.65709156193895868</v>
      </c>
      <c r="K23">
        <v>1</v>
      </c>
      <c r="L23" s="1">
        <f t="shared" si="1"/>
        <v>0.97844463229078615</v>
      </c>
      <c r="M23" s="1">
        <f t="shared" si="2"/>
        <v>0.61327134404057482</v>
      </c>
      <c r="N23" s="1">
        <f t="shared" si="3"/>
        <v>0.60735418427726118</v>
      </c>
    </row>
    <row r="24" spans="1:14" x14ac:dyDescent="0.2">
      <c r="A24">
        <v>100</v>
      </c>
      <c r="B24">
        <v>277.8</v>
      </c>
      <c r="C24">
        <v>77.599999999999994</v>
      </c>
      <c r="D24">
        <v>272.2</v>
      </c>
      <c r="E24">
        <v>76.3</v>
      </c>
      <c r="F24">
        <v>165.4</v>
      </c>
      <c r="G24">
        <v>49.3</v>
      </c>
      <c r="H24">
        <v>164.8</v>
      </c>
      <c r="I24">
        <v>48.2</v>
      </c>
      <c r="J24" s="1">
        <f t="shared" si="0"/>
        <v>0.63171690694626481</v>
      </c>
      <c r="K24">
        <v>1</v>
      </c>
      <c r="L24" s="1">
        <f t="shared" si="1"/>
        <v>0.97984161267098624</v>
      </c>
      <c r="M24" s="1">
        <f t="shared" si="2"/>
        <v>0.59539236861051115</v>
      </c>
      <c r="N24" s="1">
        <f t="shared" si="3"/>
        <v>0.59323254139668824</v>
      </c>
    </row>
    <row r="25" spans="1:14" x14ac:dyDescent="0.2">
      <c r="A25">
        <v>120</v>
      </c>
      <c r="B25">
        <v>319.39999999999998</v>
      </c>
      <c r="C25">
        <v>108.1</v>
      </c>
      <c r="D25">
        <v>313</v>
      </c>
      <c r="E25">
        <v>106.1</v>
      </c>
      <c r="F25">
        <v>184.8</v>
      </c>
      <c r="G25">
        <v>64.900000000000006</v>
      </c>
      <c r="H25">
        <v>185</v>
      </c>
      <c r="I25">
        <v>65</v>
      </c>
      <c r="J25" s="1">
        <f t="shared" si="0"/>
        <v>0.61262959472196044</v>
      </c>
      <c r="K25">
        <v>1</v>
      </c>
      <c r="L25" s="1">
        <f t="shared" si="1"/>
        <v>0.97996242955541646</v>
      </c>
      <c r="M25" s="1">
        <f t="shared" si="2"/>
        <v>0.57858484658735132</v>
      </c>
      <c r="N25" s="1">
        <f t="shared" si="3"/>
        <v>0.57921102066374452</v>
      </c>
    </row>
    <row r="26" spans="1:14" x14ac:dyDescent="0.2">
      <c r="A26">
        <v>140</v>
      </c>
      <c r="B26">
        <v>361.4</v>
      </c>
      <c r="C26">
        <v>140.9</v>
      </c>
      <c r="D26">
        <v>353.7</v>
      </c>
      <c r="E26">
        <v>136.80000000000001</v>
      </c>
      <c r="F26">
        <v>204.4</v>
      </c>
      <c r="G26">
        <v>82.9</v>
      </c>
      <c r="H26">
        <v>203.8</v>
      </c>
      <c r="I26">
        <v>81.599999999999994</v>
      </c>
      <c r="J26" s="1">
        <f t="shared" si="0"/>
        <v>0.59649122807017529</v>
      </c>
      <c r="K26">
        <v>1</v>
      </c>
      <c r="L26" s="1">
        <f t="shared" si="1"/>
        <v>0.97869396790260099</v>
      </c>
      <c r="M26" s="1">
        <f t="shared" si="2"/>
        <v>0.5655783065855009</v>
      </c>
      <c r="N26" s="1">
        <f t="shared" si="3"/>
        <v>0.56391809629219702</v>
      </c>
    </row>
    <row r="27" spans="1:14" x14ac:dyDescent="0.2">
      <c r="A27">
        <v>160</v>
      </c>
      <c r="B27">
        <v>402.6</v>
      </c>
      <c r="C27">
        <v>180.3</v>
      </c>
      <c r="D27">
        <v>396.5</v>
      </c>
      <c r="E27">
        <v>177.7</v>
      </c>
      <c r="F27">
        <v>221.7</v>
      </c>
      <c r="G27">
        <v>102</v>
      </c>
      <c r="H27">
        <v>222</v>
      </c>
      <c r="I27">
        <v>101.5</v>
      </c>
      <c r="J27" s="1">
        <f t="shared" si="0"/>
        <v>0.57118739448508726</v>
      </c>
      <c r="K27">
        <v>1</v>
      </c>
      <c r="L27" s="1">
        <f t="shared" si="1"/>
        <v>0.98484848484848475</v>
      </c>
      <c r="M27" s="1">
        <f t="shared" si="2"/>
        <v>0.55067064083457518</v>
      </c>
      <c r="N27" s="1">
        <f t="shared" si="3"/>
        <v>0.55141579731743662</v>
      </c>
    </row>
    <row r="28" spans="1:14" x14ac:dyDescent="0.2">
      <c r="A28">
        <v>180</v>
      </c>
      <c r="B28">
        <v>435.2</v>
      </c>
      <c r="C28">
        <v>230.1</v>
      </c>
      <c r="D28">
        <v>432.4</v>
      </c>
      <c r="E28">
        <v>230</v>
      </c>
      <c r="F28">
        <v>239.4</v>
      </c>
      <c r="G28">
        <v>128.30000000000001</v>
      </c>
      <c r="H28">
        <v>236.9</v>
      </c>
      <c r="I28">
        <v>126.1</v>
      </c>
      <c r="J28" s="1">
        <f t="shared" si="0"/>
        <v>0.54826086956521736</v>
      </c>
      <c r="K28">
        <v>1</v>
      </c>
      <c r="L28" s="1">
        <f t="shared" si="1"/>
        <v>0.9935661764705882</v>
      </c>
      <c r="M28" s="1">
        <f t="shared" si="2"/>
        <v>0.55009191176470595</v>
      </c>
      <c r="N28" s="1">
        <f t="shared" si="3"/>
        <v>0.54434742647058831</v>
      </c>
    </row>
    <row r="29" spans="1:14" x14ac:dyDescent="0.2">
      <c r="A29">
        <v>200</v>
      </c>
      <c r="B29">
        <v>474.6</v>
      </c>
      <c r="C29">
        <v>277.39999999999998</v>
      </c>
      <c r="D29">
        <v>467.5</v>
      </c>
      <c r="E29">
        <v>273.3</v>
      </c>
      <c r="F29">
        <v>253.4</v>
      </c>
      <c r="G29">
        <v>148.4</v>
      </c>
      <c r="H29">
        <v>253.8</v>
      </c>
      <c r="I29">
        <v>149</v>
      </c>
      <c r="J29" s="1">
        <f t="shared" si="0"/>
        <v>0.54518843761434321</v>
      </c>
      <c r="K29">
        <v>1</v>
      </c>
      <c r="L29" s="1">
        <f t="shared" si="1"/>
        <v>0.98504003371260007</v>
      </c>
      <c r="M29" s="1">
        <f t="shared" si="2"/>
        <v>0.53392330383480824</v>
      </c>
      <c r="N29" s="1">
        <f t="shared" si="3"/>
        <v>0.53476611883691527</v>
      </c>
    </row>
    <row r="30" spans="1:14" x14ac:dyDescent="0.2">
      <c r="A30">
        <v>300</v>
      </c>
      <c r="B30">
        <v>642.9</v>
      </c>
      <c r="C30">
        <v>525.5</v>
      </c>
      <c r="D30">
        <v>637.5</v>
      </c>
      <c r="E30">
        <v>521.4</v>
      </c>
      <c r="F30">
        <v>324.60000000000002</v>
      </c>
      <c r="G30">
        <v>253.2</v>
      </c>
      <c r="H30">
        <v>322.60000000000002</v>
      </c>
      <c r="I30">
        <v>254.7</v>
      </c>
      <c r="J30" s="1">
        <f t="shared" si="0"/>
        <v>0.48849252013808975</v>
      </c>
      <c r="K30">
        <v>1</v>
      </c>
      <c r="L30" s="1">
        <f t="shared" ref="L30:L44" si="4">D30/B30</f>
        <v>0.99160055996266916</v>
      </c>
      <c r="M30" s="1">
        <f t="shared" ref="M30:M44" si="5">F30/B30</f>
        <v>0.50489967335510966</v>
      </c>
      <c r="N30" s="1">
        <f t="shared" ref="N30:N44" si="6">H30/B30</f>
        <v>0.50178876963757979</v>
      </c>
    </row>
    <row r="31" spans="1:14" x14ac:dyDescent="0.2">
      <c r="A31">
        <v>400</v>
      </c>
      <c r="B31">
        <v>793</v>
      </c>
      <c r="C31">
        <v>844.7</v>
      </c>
      <c r="D31">
        <v>786.8</v>
      </c>
      <c r="E31">
        <v>834.7</v>
      </c>
      <c r="F31">
        <v>383.4</v>
      </c>
      <c r="G31">
        <v>374.1</v>
      </c>
      <c r="H31">
        <v>381</v>
      </c>
      <c r="I31">
        <v>371.6</v>
      </c>
      <c r="J31" s="1">
        <f t="shared" si="0"/>
        <v>0.44518988858272435</v>
      </c>
      <c r="K31">
        <v>1</v>
      </c>
      <c r="L31" s="1">
        <f t="shared" si="4"/>
        <v>0.99218158890290031</v>
      </c>
      <c r="M31" s="1">
        <f t="shared" si="5"/>
        <v>0.4834804539722572</v>
      </c>
      <c r="N31" s="1">
        <f t="shared" si="6"/>
        <v>0.48045397225725095</v>
      </c>
    </row>
    <row r="32" spans="1:14" x14ac:dyDescent="0.2">
      <c r="A32">
        <v>500</v>
      </c>
      <c r="B32">
        <v>933.1</v>
      </c>
      <c r="C32">
        <v>1264.3</v>
      </c>
      <c r="D32">
        <v>924</v>
      </c>
      <c r="E32">
        <v>1250.5999999999999</v>
      </c>
      <c r="F32">
        <v>433.1</v>
      </c>
      <c r="G32">
        <v>521.29999999999995</v>
      </c>
      <c r="H32">
        <v>434.6</v>
      </c>
      <c r="I32">
        <v>524.9</v>
      </c>
      <c r="J32" s="1">
        <f t="shared" si="0"/>
        <v>0.41971853510315049</v>
      </c>
      <c r="K32">
        <v>1</v>
      </c>
      <c r="L32" s="1">
        <f t="shared" si="4"/>
        <v>0.99024756189047258</v>
      </c>
      <c r="M32" s="1">
        <f t="shared" si="5"/>
        <v>0.46415175222377025</v>
      </c>
      <c r="N32" s="1">
        <f t="shared" si="6"/>
        <v>0.46575929696709895</v>
      </c>
    </row>
    <row r="33" spans="1:14" x14ac:dyDescent="0.2">
      <c r="A33">
        <v>600</v>
      </c>
      <c r="B33">
        <v>1055.5999999999999</v>
      </c>
      <c r="C33">
        <v>1688.7</v>
      </c>
      <c r="D33">
        <v>1049.3</v>
      </c>
      <c r="E33">
        <v>1676</v>
      </c>
      <c r="F33">
        <v>482.8</v>
      </c>
      <c r="G33">
        <v>658.8</v>
      </c>
      <c r="H33">
        <v>481.9</v>
      </c>
      <c r="I33">
        <v>659.5</v>
      </c>
      <c r="J33" s="1">
        <f t="shared" si="0"/>
        <v>0.39349642004773272</v>
      </c>
      <c r="K33">
        <v>1</v>
      </c>
      <c r="L33" s="1">
        <f t="shared" si="4"/>
        <v>0.99403183023872688</v>
      </c>
      <c r="M33" s="1">
        <f t="shared" si="5"/>
        <v>0.45737021599090572</v>
      </c>
      <c r="N33" s="1">
        <f t="shared" si="6"/>
        <v>0.45651762031072379</v>
      </c>
    </row>
    <row r="34" spans="1:14" x14ac:dyDescent="0.2">
      <c r="A34">
        <v>700</v>
      </c>
      <c r="B34">
        <v>1172.5999999999999</v>
      </c>
      <c r="C34">
        <v>2164.8000000000002</v>
      </c>
      <c r="D34">
        <v>1159.5</v>
      </c>
      <c r="E34">
        <v>2144.8000000000002</v>
      </c>
      <c r="F34">
        <v>523.5</v>
      </c>
      <c r="G34">
        <v>798.3</v>
      </c>
      <c r="H34">
        <v>522.79999999999995</v>
      </c>
      <c r="I34">
        <v>796.2</v>
      </c>
      <c r="J34" s="1">
        <f t="shared" si="0"/>
        <v>0.37122342409548675</v>
      </c>
      <c r="K34">
        <v>1</v>
      </c>
      <c r="L34" s="1">
        <f t="shared" si="4"/>
        <v>0.98882824492580601</v>
      </c>
      <c r="M34" s="1">
        <f t="shared" si="5"/>
        <v>0.4464438001023367</v>
      </c>
      <c r="N34" s="1">
        <f t="shared" si="6"/>
        <v>0.44584683609073855</v>
      </c>
    </row>
    <row r="35" spans="1:14" x14ac:dyDescent="0.2">
      <c r="A35">
        <v>800</v>
      </c>
      <c r="B35">
        <v>1277.4000000000001</v>
      </c>
      <c r="C35">
        <v>2839.2</v>
      </c>
      <c r="D35">
        <v>1268.0999999999999</v>
      </c>
      <c r="E35">
        <v>2810.6</v>
      </c>
      <c r="F35">
        <v>562.4</v>
      </c>
      <c r="G35">
        <v>1000.7</v>
      </c>
      <c r="H35">
        <v>564.5</v>
      </c>
      <c r="I35">
        <v>1010</v>
      </c>
      <c r="J35" s="1">
        <f t="shared" si="0"/>
        <v>0.35935387461751939</v>
      </c>
      <c r="K35">
        <v>1</v>
      </c>
      <c r="L35" s="1">
        <f t="shared" si="4"/>
        <v>0.99271958666040383</v>
      </c>
      <c r="M35" s="1">
        <f t="shared" si="5"/>
        <v>0.44026929700955059</v>
      </c>
      <c r="N35" s="1">
        <f t="shared" si="6"/>
        <v>0.44191326131204006</v>
      </c>
    </row>
    <row r="36" spans="1:14" x14ac:dyDescent="0.2">
      <c r="A36">
        <v>900</v>
      </c>
      <c r="B36">
        <v>1378.6</v>
      </c>
      <c r="C36">
        <v>3486.6</v>
      </c>
      <c r="D36">
        <v>1369.7</v>
      </c>
      <c r="E36">
        <v>3462.2</v>
      </c>
      <c r="F36">
        <v>600.20000000000005</v>
      </c>
      <c r="G36">
        <v>1178.2</v>
      </c>
      <c r="H36">
        <v>599.6</v>
      </c>
      <c r="I36">
        <v>1183.3</v>
      </c>
      <c r="J36" s="1">
        <f t="shared" si="0"/>
        <v>0.34177690485818268</v>
      </c>
      <c r="K36">
        <v>1</v>
      </c>
      <c r="L36" s="1">
        <f t="shared" si="4"/>
        <v>0.99354417525025396</v>
      </c>
      <c r="M36" s="1">
        <f t="shared" si="5"/>
        <v>0.43536921514580013</v>
      </c>
      <c r="N36" s="1">
        <f t="shared" si="6"/>
        <v>0.43493399100536784</v>
      </c>
    </row>
    <row r="37" spans="1:14" x14ac:dyDescent="0.2">
      <c r="A37">
        <v>1000</v>
      </c>
      <c r="B37">
        <v>1477.2</v>
      </c>
      <c r="C37">
        <v>4403.5</v>
      </c>
      <c r="D37">
        <v>1466.4</v>
      </c>
      <c r="E37">
        <v>4389.7</v>
      </c>
      <c r="F37">
        <v>634.79999999999995</v>
      </c>
      <c r="G37">
        <v>1445.5</v>
      </c>
      <c r="H37">
        <v>634.1</v>
      </c>
      <c r="I37">
        <v>1457.8</v>
      </c>
      <c r="J37" s="1">
        <f t="shared" si="0"/>
        <v>0.33209558739777206</v>
      </c>
      <c r="K37">
        <v>1</v>
      </c>
      <c r="L37" s="1">
        <f t="shared" si="4"/>
        <v>0.9926888708367182</v>
      </c>
      <c r="M37" s="1">
        <f t="shared" si="5"/>
        <v>0.42973192526401294</v>
      </c>
      <c r="N37" s="1">
        <f t="shared" si="6"/>
        <v>0.42925805578120768</v>
      </c>
    </row>
    <row r="38" spans="1:14" x14ac:dyDescent="0.2">
      <c r="A38">
        <v>1100</v>
      </c>
      <c r="B38">
        <v>1569</v>
      </c>
      <c r="C38">
        <v>5023</v>
      </c>
      <c r="D38">
        <v>1563.2</v>
      </c>
      <c r="E38">
        <v>5008.3999999999996</v>
      </c>
      <c r="F38">
        <v>663.1</v>
      </c>
      <c r="G38">
        <v>1590.1</v>
      </c>
      <c r="H38">
        <v>664.1</v>
      </c>
      <c r="I38">
        <v>1588</v>
      </c>
      <c r="J38" s="1">
        <f t="shared" si="0"/>
        <v>0.31706732689082345</v>
      </c>
      <c r="K38">
        <v>1</v>
      </c>
      <c r="L38" s="1">
        <f t="shared" si="4"/>
        <v>0.99630337794773749</v>
      </c>
      <c r="M38" s="1">
        <f t="shared" si="5"/>
        <v>0.42262587635436583</v>
      </c>
      <c r="N38" s="1">
        <f t="shared" si="6"/>
        <v>0.42326322498406632</v>
      </c>
    </row>
    <row r="39" spans="1:14" x14ac:dyDescent="0.2">
      <c r="A39">
        <v>1200</v>
      </c>
      <c r="B39">
        <v>1653.7</v>
      </c>
      <c r="C39">
        <v>5720.1</v>
      </c>
      <c r="D39">
        <v>1645</v>
      </c>
      <c r="E39">
        <v>5681.4</v>
      </c>
      <c r="F39">
        <v>695.8</v>
      </c>
      <c r="G39">
        <v>1752.6</v>
      </c>
      <c r="H39">
        <v>696</v>
      </c>
      <c r="I39">
        <v>1752</v>
      </c>
      <c r="J39" s="1">
        <f t="shared" si="0"/>
        <v>0.30837469637765341</v>
      </c>
      <c r="K39">
        <v>1</v>
      </c>
      <c r="L39" s="1">
        <f t="shared" si="4"/>
        <v>0.99473906996432238</v>
      </c>
      <c r="M39" s="1">
        <f t="shared" si="5"/>
        <v>0.42075346193384527</v>
      </c>
      <c r="N39" s="1">
        <f t="shared" si="6"/>
        <v>0.42087440285420569</v>
      </c>
    </row>
    <row r="40" spans="1:14" x14ac:dyDescent="0.2">
      <c r="A40">
        <v>1300</v>
      </c>
      <c r="B40">
        <v>1735.1</v>
      </c>
      <c r="C40">
        <v>6616.2</v>
      </c>
      <c r="D40">
        <v>1720.4</v>
      </c>
      <c r="E40">
        <v>6571.6</v>
      </c>
      <c r="F40">
        <v>724.2</v>
      </c>
      <c r="G40">
        <v>1976.2</v>
      </c>
      <c r="H40">
        <v>722.4</v>
      </c>
      <c r="I40">
        <v>1964.3</v>
      </c>
      <c r="J40" s="1">
        <f t="shared" si="0"/>
        <v>0.29890741980643981</v>
      </c>
      <c r="K40">
        <v>1</v>
      </c>
      <c r="L40" s="1">
        <f t="shared" si="4"/>
        <v>0.99152786582905894</v>
      </c>
      <c r="M40" s="1">
        <f t="shared" si="5"/>
        <v>0.41738228344187661</v>
      </c>
      <c r="N40" s="1">
        <f t="shared" si="6"/>
        <v>0.41634487925767966</v>
      </c>
    </row>
    <row r="41" spans="1:14" x14ac:dyDescent="0.2">
      <c r="A41">
        <v>1400</v>
      </c>
      <c r="B41">
        <v>1804.5</v>
      </c>
      <c r="C41">
        <v>7298.8</v>
      </c>
      <c r="D41">
        <v>1794.2</v>
      </c>
      <c r="E41">
        <v>7225.5</v>
      </c>
      <c r="F41">
        <v>748.5</v>
      </c>
      <c r="G41">
        <v>2121</v>
      </c>
      <c r="H41">
        <v>749.7</v>
      </c>
      <c r="I41">
        <v>2120.5</v>
      </c>
      <c r="J41" s="1">
        <f t="shared" si="0"/>
        <v>0.29347450003459968</v>
      </c>
      <c r="K41">
        <v>1</v>
      </c>
      <c r="L41" s="1">
        <f t="shared" si="4"/>
        <v>0.99429204765863122</v>
      </c>
      <c r="M41" s="1">
        <f t="shared" si="5"/>
        <v>0.41479634247714048</v>
      </c>
      <c r="N41" s="1">
        <f t="shared" si="6"/>
        <v>0.4154613466334165</v>
      </c>
    </row>
    <row r="42" spans="1:14" x14ac:dyDescent="0.2">
      <c r="A42">
        <v>1500</v>
      </c>
      <c r="B42">
        <v>1882.5</v>
      </c>
      <c r="C42">
        <v>7599.3</v>
      </c>
      <c r="D42">
        <v>1870.6</v>
      </c>
      <c r="E42">
        <v>7559.7</v>
      </c>
      <c r="F42">
        <v>773.5</v>
      </c>
      <c r="G42">
        <v>2165.8000000000002</v>
      </c>
      <c r="H42">
        <v>771.6</v>
      </c>
      <c r="I42">
        <v>2153</v>
      </c>
      <c r="J42" s="1">
        <f t="shared" si="0"/>
        <v>0.2847996613622234</v>
      </c>
      <c r="K42">
        <v>1</v>
      </c>
      <c r="L42" s="1">
        <f t="shared" si="4"/>
        <v>0.99367861885790165</v>
      </c>
      <c r="M42" s="1">
        <f t="shared" si="5"/>
        <v>0.41088977423638778</v>
      </c>
      <c r="N42" s="1">
        <f t="shared" si="6"/>
        <v>0.40988047808764944</v>
      </c>
    </row>
    <row r="43" spans="1:14" x14ac:dyDescent="0.2">
      <c r="A43">
        <v>1600</v>
      </c>
      <c r="B43">
        <v>1948.9</v>
      </c>
      <c r="C43">
        <v>8432</v>
      </c>
      <c r="D43">
        <v>1941.4</v>
      </c>
      <c r="E43">
        <v>8376.2000000000007</v>
      </c>
      <c r="F43">
        <v>797.2</v>
      </c>
      <c r="G43">
        <v>2337.5</v>
      </c>
      <c r="H43">
        <v>799.3</v>
      </c>
      <c r="I43">
        <v>2351.6</v>
      </c>
      <c r="J43" s="1">
        <f t="shared" si="0"/>
        <v>0.28074783314629542</v>
      </c>
      <c r="K43">
        <v>1</v>
      </c>
      <c r="L43" s="1">
        <f t="shared" si="4"/>
        <v>0.9961516753040176</v>
      </c>
      <c r="M43" s="1">
        <f t="shared" si="5"/>
        <v>0.40905125968495049</v>
      </c>
      <c r="N43" s="1">
        <f t="shared" si="6"/>
        <v>0.41012879059982549</v>
      </c>
    </row>
    <row r="44" spans="1:14" x14ac:dyDescent="0.2">
      <c r="A44">
        <v>1700</v>
      </c>
      <c r="B44">
        <v>2023.7</v>
      </c>
      <c r="C44">
        <v>9522.2000000000007</v>
      </c>
      <c r="D44">
        <v>2013.7</v>
      </c>
      <c r="E44">
        <v>9494.7999999999993</v>
      </c>
      <c r="F44">
        <v>821.4</v>
      </c>
      <c r="G44">
        <v>2589.5</v>
      </c>
      <c r="H44">
        <v>822.8</v>
      </c>
      <c r="I44">
        <v>2596.8000000000002</v>
      </c>
      <c r="J44" s="1">
        <f t="shared" si="0"/>
        <v>0.27349707208156049</v>
      </c>
      <c r="K44">
        <v>1</v>
      </c>
      <c r="L44" s="1">
        <f t="shared" si="4"/>
        <v>0.99505855611009542</v>
      </c>
      <c r="M44" s="1">
        <f t="shared" si="5"/>
        <v>0.40589020111676632</v>
      </c>
      <c r="N44" s="1">
        <f t="shared" si="6"/>
        <v>0.40658200326135291</v>
      </c>
    </row>
    <row r="45" spans="1:14" x14ac:dyDescent="0.2">
      <c r="A45">
        <v>1800</v>
      </c>
      <c r="B45">
        <v>2090.3000000000002</v>
      </c>
      <c r="C45">
        <v>10622.6</v>
      </c>
      <c r="D45">
        <v>2076</v>
      </c>
      <c r="E45">
        <v>10543</v>
      </c>
      <c r="F45">
        <v>845.2</v>
      </c>
      <c r="G45">
        <v>2832.4</v>
      </c>
      <c r="H45">
        <v>845.7</v>
      </c>
      <c r="I45">
        <v>2824.3</v>
      </c>
      <c r="J45" s="1">
        <f t="shared" si="0"/>
        <v>0.26788390401214079</v>
      </c>
      <c r="K45">
        <v>1</v>
      </c>
      <c r="L45" s="1">
        <f t="shared" ref="L45:L46" si="7">D45/B45</f>
        <v>0.99315887671626069</v>
      </c>
      <c r="M45" s="1">
        <f t="shared" ref="M45:M46" si="8">F45/B45</f>
        <v>0.40434387408505956</v>
      </c>
      <c r="N45" s="1">
        <f t="shared" ref="N45:N46" si="9">H45/B45</f>
        <v>0.4045830741998756</v>
      </c>
    </row>
    <row r="46" spans="1:14" x14ac:dyDescent="0.2">
      <c r="A46">
        <v>1900</v>
      </c>
      <c r="B46">
        <v>2136.8000000000002</v>
      </c>
      <c r="C46">
        <v>11325.9</v>
      </c>
      <c r="D46">
        <v>2138.8000000000002</v>
      </c>
      <c r="E46">
        <v>11333</v>
      </c>
      <c r="F46">
        <v>866.6</v>
      </c>
      <c r="G46">
        <v>2974.2</v>
      </c>
      <c r="H46">
        <v>866.4</v>
      </c>
      <c r="I46">
        <v>2968.8</v>
      </c>
      <c r="J46" s="1">
        <f t="shared" si="0"/>
        <v>0.26196064590135004</v>
      </c>
      <c r="K46">
        <v>1</v>
      </c>
      <c r="L46" s="1">
        <f t="shared" si="7"/>
        <v>1.0009359790340697</v>
      </c>
      <c r="M46" s="1">
        <f t="shared" si="8"/>
        <v>0.40555971546237363</v>
      </c>
      <c r="N46" s="1">
        <f t="shared" si="9"/>
        <v>0.40546611755896661</v>
      </c>
    </row>
    <row r="47" spans="1:14" x14ac:dyDescent="0.2">
      <c r="J47" s="1"/>
      <c r="L47" s="1"/>
      <c r="M47" s="1"/>
      <c r="N47" s="1"/>
    </row>
    <row r="48" spans="1:14" x14ac:dyDescent="0.2">
      <c r="J48" s="1"/>
      <c r="L48" s="1"/>
      <c r="M48" s="1"/>
      <c r="N48" s="1"/>
    </row>
    <row r="49" spans="10:14" x14ac:dyDescent="0.2">
      <c r="J49" s="1"/>
      <c r="L49" s="1"/>
      <c r="M49" s="1"/>
      <c r="N49" s="1"/>
    </row>
    <row r="50" spans="10:14" x14ac:dyDescent="0.2">
      <c r="L50" s="1"/>
      <c r="M50" s="1"/>
      <c r="N50" s="1"/>
    </row>
    <row r="51" spans="10:14" x14ac:dyDescent="0.2">
      <c r="L51" s="1"/>
      <c r="M51" s="1"/>
      <c r="N51" s="1"/>
    </row>
    <row r="52" spans="10:14" x14ac:dyDescent="0.2">
      <c r="L52" s="1"/>
      <c r="M52" s="1"/>
      <c r="N52" s="1"/>
    </row>
    <row r="53" spans="10:14" x14ac:dyDescent="0.2">
      <c r="L53" s="1"/>
      <c r="M53" s="1"/>
      <c r="N53" s="1"/>
    </row>
    <row r="54" spans="10:14" x14ac:dyDescent="0.2">
      <c r="L54" s="1"/>
      <c r="M54" s="1"/>
      <c r="N54" s="1"/>
    </row>
    <row r="55" spans="10:14" x14ac:dyDescent="0.2">
      <c r="L55" s="1"/>
      <c r="M55" s="1"/>
      <c r="N55" s="1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8E048-EC45-404A-A110-2D1AE15B5024}">
  <dimension ref="A1:O55"/>
  <sheetViews>
    <sheetView topLeftCell="A5" workbookViewId="0">
      <selection activeCell="H19" sqref="H19"/>
    </sheetView>
  </sheetViews>
  <sheetFormatPr baseColWidth="10" defaultRowHeight="16" x14ac:dyDescent="0.2"/>
  <sheetData>
    <row r="1" spans="1:15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67</v>
      </c>
      <c r="K1" t="s">
        <v>60</v>
      </c>
      <c r="L1" t="s">
        <v>61</v>
      </c>
      <c r="M1" t="s">
        <v>5</v>
      </c>
      <c r="N1" t="s">
        <v>57</v>
      </c>
      <c r="O1" t="s">
        <v>66</v>
      </c>
    </row>
    <row r="2" spans="1:15" x14ac:dyDescent="0.2">
      <c r="A2">
        <v>2</v>
      </c>
      <c r="B2">
        <v>13.2</v>
      </c>
      <c r="C2">
        <v>1.7</v>
      </c>
      <c r="D2">
        <v>9.8000000000000007</v>
      </c>
      <c r="E2">
        <v>1.5</v>
      </c>
      <c r="F2">
        <v>13</v>
      </c>
      <c r="G2">
        <v>3.8</v>
      </c>
      <c r="H2">
        <v>9</v>
      </c>
      <c r="I2">
        <v>3.6</v>
      </c>
      <c r="J2" s="1">
        <f t="shared" ref="J2:J46" si="0">I2/E2</f>
        <v>2.4</v>
      </c>
      <c r="K2">
        <v>1</v>
      </c>
      <c r="L2" s="1">
        <f t="shared" ref="L2:L46" si="1">D2/B2</f>
        <v>0.74242424242424254</v>
      </c>
      <c r="M2" s="1">
        <f t="shared" ref="M2:M46" si="2">F2/B2</f>
        <v>0.98484848484848486</v>
      </c>
      <c r="N2" s="1">
        <f t="shared" ref="N2:N46" si="3">H2/B2</f>
        <v>0.68181818181818188</v>
      </c>
    </row>
    <row r="3" spans="1:15" x14ac:dyDescent="0.2">
      <c r="A3">
        <v>4</v>
      </c>
      <c r="B3">
        <v>20.100000000000001</v>
      </c>
      <c r="C3">
        <v>2.6</v>
      </c>
      <c r="D3">
        <v>17.3</v>
      </c>
      <c r="E3">
        <v>2.4</v>
      </c>
      <c r="F3">
        <v>18.8</v>
      </c>
      <c r="G3">
        <v>4.4000000000000004</v>
      </c>
      <c r="H3">
        <v>15.2</v>
      </c>
      <c r="I3">
        <v>4.2</v>
      </c>
      <c r="J3" s="1">
        <f t="shared" si="0"/>
        <v>1.7500000000000002</v>
      </c>
      <c r="K3">
        <v>1</v>
      </c>
      <c r="L3" s="1">
        <f t="shared" si="1"/>
        <v>0.86069651741293529</v>
      </c>
      <c r="M3" s="1">
        <f t="shared" si="2"/>
        <v>0.93532338308457708</v>
      </c>
      <c r="N3" s="1">
        <f t="shared" si="3"/>
        <v>0.7562189054726367</v>
      </c>
    </row>
    <row r="4" spans="1:15" x14ac:dyDescent="0.2">
      <c r="A4">
        <v>6</v>
      </c>
      <c r="B4">
        <v>26.4</v>
      </c>
      <c r="C4">
        <v>3.6</v>
      </c>
      <c r="D4">
        <v>24.1</v>
      </c>
      <c r="E4">
        <v>3.2</v>
      </c>
      <c r="F4">
        <v>24.1</v>
      </c>
      <c r="G4">
        <v>5.2</v>
      </c>
      <c r="H4">
        <v>20.399999999999999</v>
      </c>
      <c r="I4">
        <v>4.8</v>
      </c>
      <c r="J4" s="1">
        <f t="shared" si="0"/>
        <v>1.4999999999999998</v>
      </c>
      <c r="K4">
        <v>1</v>
      </c>
      <c r="L4" s="1">
        <f t="shared" si="1"/>
        <v>0.91287878787878796</v>
      </c>
      <c r="M4" s="1">
        <f t="shared" si="2"/>
        <v>0.91287878787878796</v>
      </c>
      <c r="N4" s="1">
        <f t="shared" si="3"/>
        <v>0.77272727272727271</v>
      </c>
    </row>
    <row r="5" spans="1:15" x14ac:dyDescent="0.2">
      <c r="A5">
        <v>8</v>
      </c>
      <c r="B5">
        <v>33.299999999999997</v>
      </c>
      <c r="C5">
        <v>4.4000000000000004</v>
      </c>
      <c r="D5">
        <v>30.1</v>
      </c>
      <c r="E5">
        <v>4.3</v>
      </c>
      <c r="F5">
        <v>29.3</v>
      </c>
      <c r="G5">
        <v>6.2</v>
      </c>
      <c r="H5">
        <v>26.2</v>
      </c>
      <c r="I5">
        <v>5.3</v>
      </c>
      <c r="J5" s="1">
        <f t="shared" si="0"/>
        <v>1.2325581395348837</v>
      </c>
      <c r="K5">
        <v>1</v>
      </c>
      <c r="L5" s="1">
        <f t="shared" si="1"/>
        <v>0.90390390390390407</v>
      </c>
      <c r="M5" s="1">
        <f t="shared" si="2"/>
        <v>0.87987987987987992</v>
      </c>
      <c r="N5" s="1">
        <f t="shared" si="3"/>
        <v>0.78678678678678682</v>
      </c>
    </row>
    <row r="6" spans="1:15" x14ac:dyDescent="0.2">
      <c r="A6">
        <v>10</v>
      </c>
      <c r="B6">
        <v>37.799999999999997</v>
      </c>
      <c r="C6">
        <v>5.2</v>
      </c>
      <c r="D6">
        <v>34.799999999999997</v>
      </c>
      <c r="E6">
        <v>5.2</v>
      </c>
      <c r="F6">
        <v>32.799999999999997</v>
      </c>
      <c r="G6">
        <v>6.2</v>
      </c>
      <c r="H6">
        <v>29.8</v>
      </c>
      <c r="I6">
        <v>5.8</v>
      </c>
      <c r="J6" s="1">
        <f t="shared" si="0"/>
        <v>1.1153846153846154</v>
      </c>
      <c r="K6">
        <v>1</v>
      </c>
      <c r="L6" s="1">
        <f t="shared" si="1"/>
        <v>0.92063492063492058</v>
      </c>
      <c r="M6" s="1">
        <f t="shared" si="2"/>
        <v>0.86772486772486768</v>
      </c>
      <c r="N6" s="1">
        <f t="shared" si="3"/>
        <v>0.78835978835978848</v>
      </c>
    </row>
    <row r="7" spans="1:15" x14ac:dyDescent="0.2">
      <c r="A7">
        <v>12</v>
      </c>
      <c r="B7">
        <v>42.6</v>
      </c>
      <c r="C7">
        <v>6.2</v>
      </c>
      <c r="D7">
        <v>40.4</v>
      </c>
      <c r="E7">
        <v>5.9</v>
      </c>
      <c r="F7">
        <v>36.1</v>
      </c>
      <c r="G7">
        <v>7.4</v>
      </c>
      <c r="H7">
        <v>33.9</v>
      </c>
      <c r="I7">
        <v>6.8</v>
      </c>
      <c r="J7" s="1">
        <f t="shared" si="0"/>
        <v>1.1525423728813557</v>
      </c>
      <c r="K7">
        <v>1</v>
      </c>
      <c r="L7" s="1">
        <f t="shared" si="1"/>
        <v>0.94835680751173701</v>
      </c>
      <c r="M7" s="1">
        <f t="shared" si="2"/>
        <v>0.84741784037558687</v>
      </c>
      <c r="N7" s="1">
        <f t="shared" si="3"/>
        <v>0.79577464788732388</v>
      </c>
    </row>
    <row r="8" spans="1:15" x14ac:dyDescent="0.2">
      <c r="A8">
        <v>14</v>
      </c>
      <c r="B8">
        <v>46.9</v>
      </c>
      <c r="C8">
        <v>7.1</v>
      </c>
      <c r="D8">
        <v>44.9</v>
      </c>
      <c r="E8">
        <v>6.8</v>
      </c>
      <c r="F8">
        <v>39.1</v>
      </c>
      <c r="G8">
        <v>7.7</v>
      </c>
      <c r="H8">
        <v>37.6</v>
      </c>
      <c r="I8">
        <v>7.2</v>
      </c>
      <c r="J8" s="1">
        <f t="shared" si="0"/>
        <v>1.0588235294117647</v>
      </c>
      <c r="K8">
        <v>1</v>
      </c>
      <c r="L8" s="1">
        <f t="shared" si="1"/>
        <v>0.95735607675906187</v>
      </c>
      <c r="M8" s="1">
        <f t="shared" si="2"/>
        <v>0.83368869936034118</v>
      </c>
      <c r="N8" s="1">
        <f t="shared" si="3"/>
        <v>0.80170575692963764</v>
      </c>
    </row>
    <row r="9" spans="1:15" x14ac:dyDescent="0.2">
      <c r="A9">
        <v>16</v>
      </c>
      <c r="B9">
        <v>50.9</v>
      </c>
      <c r="C9">
        <v>7.9</v>
      </c>
      <c r="D9">
        <v>49.1</v>
      </c>
      <c r="E9">
        <v>7.7</v>
      </c>
      <c r="F9">
        <v>42</v>
      </c>
      <c r="G9">
        <v>8.5</v>
      </c>
      <c r="H9">
        <v>40.200000000000003</v>
      </c>
      <c r="I9">
        <v>7.8</v>
      </c>
      <c r="J9" s="1">
        <f t="shared" si="0"/>
        <v>1.0129870129870129</v>
      </c>
      <c r="K9">
        <v>1</v>
      </c>
      <c r="L9" s="1">
        <f t="shared" si="1"/>
        <v>0.96463654223968576</v>
      </c>
      <c r="M9" s="1">
        <f t="shared" si="2"/>
        <v>0.825147347740668</v>
      </c>
      <c r="N9" s="1">
        <f t="shared" si="3"/>
        <v>0.78978388998035376</v>
      </c>
    </row>
    <row r="10" spans="1:15" x14ac:dyDescent="0.2">
      <c r="A10">
        <v>18</v>
      </c>
      <c r="B10">
        <v>55</v>
      </c>
      <c r="C10">
        <v>9</v>
      </c>
      <c r="D10">
        <v>53.6</v>
      </c>
      <c r="E10">
        <v>8.3000000000000007</v>
      </c>
      <c r="F10">
        <v>44.9</v>
      </c>
      <c r="G10">
        <v>8.6999999999999993</v>
      </c>
      <c r="H10">
        <v>42.5</v>
      </c>
      <c r="I10">
        <v>8.5</v>
      </c>
      <c r="J10" s="1">
        <f t="shared" si="0"/>
        <v>1.0240963855421685</v>
      </c>
      <c r="K10">
        <v>1</v>
      </c>
      <c r="L10" s="1">
        <f t="shared" si="1"/>
        <v>0.9745454545454546</v>
      </c>
      <c r="M10" s="1">
        <f t="shared" si="2"/>
        <v>0.81636363636363629</v>
      </c>
      <c r="N10" s="1">
        <f t="shared" si="3"/>
        <v>0.77272727272727271</v>
      </c>
    </row>
    <row r="11" spans="1:15" x14ac:dyDescent="0.2">
      <c r="A11">
        <v>20</v>
      </c>
      <c r="B11">
        <v>58.3</v>
      </c>
      <c r="C11">
        <v>9.6</v>
      </c>
      <c r="D11">
        <v>56.7</v>
      </c>
      <c r="E11">
        <v>9.3000000000000007</v>
      </c>
      <c r="F11">
        <v>46</v>
      </c>
      <c r="G11">
        <v>9.1999999999999993</v>
      </c>
      <c r="H11">
        <v>45</v>
      </c>
      <c r="I11">
        <v>9.1</v>
      </c>
      <c r="J11" s="1">
        <f t="shared" si="0"/>
        <v>0.97849462365591389</v>
      </c>
      <c r="K11">
        <v>1</v>
      </c>
      <c r="L11" s="1">
        <f t="shared" si="1"/>
        <v>0.97255574614065188</v>
      </c>
      <c r="M11" s="1">
        <f t="shared" si="2"/>
        <v>0.78902229845626071</v>
      </c>
      <c r="N11" s="1">
        <f t="shared" si="3"/>
        <v>0.77186963979416812</v>
      </c>
    </row>
    <row r="12" spans="1:15" x14ac:dyDescent="0.2">
      <c r="A12">
        <v>22</v>
      </c>
      <c r="B12">
        <v>62.3</v>
      </c>
      <c r="C12">
        <v>10.9</v>
      </c>
      <c r="D12">
        <v>60.4</v>
      </c>
      <c r="E12">
        <v>10.199999999999999</v>
      </c>
      <c r="F12">
        <v>48.4</v>
      </c>
      <c r="G12">
        <v>9.8000000000000007</v>
      </c>
      <c r="H12">
        <v>47.7</v>
      </c>
      <c r="I12">
        <v>9.6999999999999993</v>
      </c>
      <c r="J12" s="1">
        <f t="shared" si="0"/>
        <v>0.9509803921568627</v>
      </c>
      <c r="K12">
        <v>1</v>
      </c>
      <c r="L12" s="1">
        <f t="shared" si="1"/>
        <v>0.9695024077046549</v>
      </c>
      <c r="M12" s="1">
        <f t="shared" si="2"/>
        <v>0.7768860353130016</v>
      </c>
      <c r="N12" s="1">
        <f t="shared" si="3"/>
        <v>0.76565008025682191</v>
      </c>
    </row>
    <row r="13" spans="1:15" x14ac:dyDescent="0.2">
      <c r="A13">
        <v>24</v>
      </c>
      <c r="B13">
        <v>66.3</v>
      </c>
      <c r="C13">
        <v>11.5</v>
      </c>
      <c r="D13">
        <v>64.7</v>
      </c>
      <c r="E13">
        <v>11.1</v>
      </c>
      <c r="F13">
        <v>50.8</v>
      </c>
      <c r="G13">
        <v>10.4</v>
      </c>
      <c r="H13">
        <v>49.6</v>
      </c>
      <c r="I13">
        <v>10.4</v>
      </c>
      <c r="J13" s="1">
        <f t="shared" si="0"/>
        <v>0.93693693693693703</v>
      </c>
      <c r="K13">
        <v>1</v>
      </c>
      <c r="L13" s="1">
        <f t="shared" si="1"/>
        <v>0.97586726998491713</v>
      </c>
      <c r="M13" s="1">
        <f t="shared" si="2"/>
        <v>0.7662141779788838</v>
      </c>
      <c r="N13" s="1">
        <f t="shared" si="3"/>
        <v>0.74811463046757165</v>
      </c>
    </row>
    <row r="14" spans="1:15" x14ac:dyDescent="0.2">
      <c r="A14">
        <v>26</v>
      </c>
      <c r="B14">
        <v>71.900000000000006</v>
      </c>
      <c r="C14">
        <v>12.9</v>
      </c>
      <c r="D14">
        <v>69.599999999999994</v>
      </c>
      <c r="E14">
        <v>12.2</v>
      </c>
      <c r="F14">
        <v>54.2</v>
      </c>
      <c r="G14">
        <v>11.4</v>
      </c>
      <c r="H14">
        <v>52.9</v>
      </c>
      <c r="I14">
        <v>10.8</v>
      </c>
      <c r="J14" s="1">
        <f t="shared" si="0"/>
        <v>0.88524590163934436</v>
      </c>
      <c r="K14">
        <v>1</v>
      </c>
      <c r="L14" s="1">
        <f t="shared" si="1"/>
        <v>0.96801112656467303</v>
      </c>
      <c r="M14" s="1">
        <f t="shared" si="2"/>
        <v>0.75382475660639781</v>
      </c>
      <c r="N14" s="1">
        <f t="shared" si="3"/>
        <v>0.73574408901251731</v>
      </c>
    </row>
    <row r="15" spans="1:15" x14ac:dyDescent="0.2">
      <c r="A15">
        <v>28</v>
      </c>
      <c r="B15">
        <v>73.5</v>
      </c>
      <c r="C15">
        <v>14.2</v>
      </c>
      <c r="D15">
        <v>72.2</v>
      </c>
      <c r="E15">
        <v>13.7</v>
      </c>
      <c r="F15">
        <v>55.6</v>
      </c>
      <c r="G15">
        <v>12.1</v>
      </c>
      <c r="H15">
        <v>53.9</v>
      </c>
      <c r="I15">
        <v>12</v>
      </c>
      <c r="J15" s="1">
        <f t="shared" si="0"/>
        <v>0.87591240875912413</v>
      </c>
      <c r="K15">
        <v>1</v>
      </c>
      <c r="L15" s="1">
        <f t="shared" si="1"/>
        <v>0.98231292517006807</v>
      </c>
      <c r="M15" s="1">
        <f t="shared" si="2"/>
        <v>0.75646258503401365</v>
      </c>
      <c r="N15" s="1">
        <f t="shared" si="3"/>
        <v>0.73333333333333328</v>
      </c>
    </row>
    <row r="16" spans="1:15" x14ac:dyDescent="0.2">
      <c r="A16">
        <v>30</v>
      </c>
      <c r="B16">
        <v>78.099999999999994</v>
      </c>
      <c r="C16">
        <v>15.4</v>
      </c>
      <c r="D16">
        <v>75.900000000000006</v>
      </c>
      <c r="E16">
        <v>14.7</v>
      </c>
      <c r="F16">
        <v>58.6</v>
      </c>
      <c r="G16">
        <v>13.2</v>
      </c>
      <c r="H16">
        <v>56.4</v>
      </c>
      <c r="I16">
        <v>12.4</v>
      </c>
      <c r="J16" s="1">
        <f t="shared" si="0"/>
        <v>0.84353741496598644</v>
      </c>
      <c r="K16">
        <v>1</v>
      </c>
      <c r="L16" s="1">
        <f t="shared" si="1"/>
        <v>0.97183098591549311</v>
      </c>
      <c r="M16" s="1">
        <f t="shared" si="2"/>
        <v>0.75032010243277858</v>
      </c>
      <c r="N16" s="1">
        <f t="shared" si="3"/>
        <v>0.72215108834827146</v>
      </c>
    </row>
    <row r="17" spans="1:14" x14ac:dyDescent="0.2">
      <c r="A17">
        <v>32</v>
      </c>
      <c r="B17">
        <v>81.099999999999994</v>
      </c>
      <c r="C17">
        <v>15.9</v>
      </c>
      <c r="D17">
        <v>79.3</v>
      </c>
      <c r="E17">
        <v>15.6</v>
      </c>
      <c r="F17">
        <v>59.8</v>
      </c>
      <c r="G17">
        <v>13</v>
      </c>
      <c r="H17">
        <v>58</v>
      </c>
      <c r="I17">
        <v>13</v>
      </c>
      <c r="J17" s="1">
        <f t="shared" si="0"/>
        <v>0.83333333333333337</v>
      </c>
      <c r="K17">
        <v>1</v>
      </c>
      <c r="L17" s="1">
        <f t="shared" si="1"/>
        <v>0.97780517879161533</v>
      </c>
      <c r="M17" s="1">
        <f t="shared" si="2"/>
        <v>0.73736128236744758</v>
      </c>
      <c r="N17" s="1">
        <f t="shared" si="3"/>
        <v>0.71516646115906291</v>
      </c>
    </row>
    <row r="18" spans="1:14" x14ac:dyDescent="0.2">
      <c r="A18">
        <v>34</v>
      </c>
      <c r="B18">
        <v>85.4</v>
      </c>
      <c r="C18">
        <v>18</v>
      </c>
      <c r="D18">
        <v>82.7</v>
      </c>
      <c r="E18">
        <v>16.600000000000001</v>
      </c>
      <c r="F18">
        <v>61.4</v>
      </c>
      <c r="G18">
        <v>14</v>
      </c>
      <c r="H18">
        <v>59.8</v>
      </c>
      <c r="I18">
        <v>13.6</v>
      </c>
      <c r="J18" s="1">
        <f t="shared" si="0"/>
        <v>0.8192771084337348</v>
      </c>
      <c r="K18">
        <v>1</v>
      </c>
      <c r="L18" s="1">
        <f t="shared" si="1"/>
        <v>0.96838407494145196</v>
      </c>
      <c r="M18" s="1">
        <f t="shared" si="2"/>
        <v>0.71896955503512872</v>
      </c>
      <c r="N18" s="1">
        <f t="shared" si="3"/>
        <v>0.70023419203747062</v>
      </c>
    </row>
    <row r="19" spans="1:14" x14ac:dyDescent="0.2">
      <c r="A19">
        <v>36</v>
      </c>
      <c r="B19">
        <v>89.1</v>
      </c>
      <c r="C19">
        <v>18.8</v>
      </c>
      <c r="D19">
        <v>87.4</v>
      </c>
      <c r="E19">
        <v>18</v>
      </c>
      <c r="F19">
        <v>64</v>
      </c>
      <c r="G19">
        <v>14.9</v>
      </c>
      <c r="H19">
        <v>63</v>
      </c>
      <c r="I19">
        <v>14.5</v>
      </c>
      <c r="J19" s="1">
        <f t="shared" si="0"/>
        <v>0.80555555555555558</v>
      </c>
      <c r="K19">
        <v>1</v>
      </c>
      <c r="L19" s="1">
        <f t="shared" si="1"/>
        <v>0.98092031425364767</v>
      </c>
      <c r="M19" s="1">
        <f t="shared" si="2"/>
        <v>0.71829405162738502</v>
      </c>
      <c r="N19" s="1">
        <f t="shared" si="3"/>
        <v>0.70707070707070707</v>
      </c>
    </row>
    <row r="20" spans="1:14" x14ac:dyDescent="0.2">
      <c r="A20">
        <v>38</v>
      </c>
      <c r="B20">
        <v>92.2</v>
      </c>
      <c r="C20">
        <v>19.2</v>
      </c>
      <c r="D20">
        <v>90.6</v>
      </c>
      <c r="E20">
        <v>18.8</v>
      </c>
      <c r="F20">
        <v>65.099999999999994</v>
      </c>
      <c r="G20">
        <v>15.3</v>
      </c>
      <c r="H20">
        <v>64.8</v>
      </c>
      <c r="I20">
        <v>15</v>
      </c>
      <c r="J20" s="1">
        <f t="shared" si="0"/>
        <v>0.7978723404255319</v>
      </c>
      <c r="K20">
        <v>1</v>
      </c>
      <c r="L20" s="1">
        <f t="shared" si="1"/>
        <v>0.98264642082429488</v>
      </c>
      <c r="M20" s="1">
        <f t="shared" si="2"/>
        <v>0.70607375271149664</v>
      </c>
      <c r="N20" s="1">
        <f t="shared" si="3"/>
        <v>0.70281995661605201</v>
      </c>
    </row>
    <row r="21" spans="1:14" x14ac:dyDescent="0.2">
      <c r="A21">
        <v>40</v>
      </c>
      <c r="B21">
        <v>95.6</v>
      </c>
      <c r="C21">
        <v>21.3</v>
      </c>
      <c r="D21">
        <v>93.6</v>
      </c>
      <c r="E21">
        <v>20.100000000000001</v>
      </c>
      <c r="F21">
        <v>67.900000000000006</v>
      </c>
      <c r="G21">
        <v>16.5</v>
      </c>
      <c r="H21">
        <v>65.8</v>
      </c>
      <c r="I21">
        <v>15.8</v>
      </c>
      <c r="J21" s="1">
        <f t="shared" si="0"/>
        <v>0.78606965174129351</v>
      </c>
      <c r="K21">
        <v>1</v>
      </c>
      <c r="L21" s="1">
        <f t="shared" si="1"/>
        <v>0.97907949790794979</v>
      </c>
      <c r="M21" s="1">
        <f t="shared" si="2"/>
        <v>0.71025104602510469</v>
      </c>
      <c r="N21" s="1">
        <f t="shared" si="3"/>
        <v>0.68828451882845187</v>
      </c>
    </row>
    <row r="22" spans="1:14" x14ac:dyDescent="0.2">
      <c r="A22">
        <v>60</v>
      </c>
      <c r="B22">
        <v>130.4</v>
      </c>
      <c r="C22">
        <v>36.799999999999997</v>
      </c>
      <c r="D22">
        <v>128.6</v>
      </c>
      <c r="E22">
        <v>35.4</v>
      </c>
      <c r="F22">
        <v>84.4</v>
      </c>
      <c r="G22">
        <v>25.6</v>
      </c>
      <c r="H22">
        <v>83.8</v>
      </c>
      <c r="I22">
        <v>24.8</v>
      </c>
      <c r="J22" s="1">
        <f t="shared" si="0"/>
        <v>0.70056497175141252</v>
      </c>
      <c r="K22">
        <v>1</v>
      </c>
      <c r="L22" s="1">
        <f t="shared" si="1"/>
        <v>0.98619631901840488</v>
      </c>
      <c r="M22" s="1">
        <f t="shared" si="2"/>
        <v>0.64723926380368102</v>
      </c>
      <c r="N22" s="1">
        <f t="shared" si="3"/>
        <v>0.6426380368098159</v>
      </c>
    </row>
    <row r="23" spans="1:14" x14ac:dyDescent="0.2">
      <c r="A23">
        <v>80</v>
      </c>
      <c r="B23">
        <v>163</v>
      </c>
      <c r="C23">
        <v>56.6</v>
      </c>
      <c r="D23">
        <v>160.80000000000001</v>
      </c>
      <c r="E23">
        <v>55.7</v>
      </c>
      <c r="F23">
        <v>100.2</v>
      </c>
      <c r="G23">
        <v>37.4</v>
      </c>
      <c r="H23">
        <v>98.7</v>
      </c>
      <c r="I23">
        <v>36.6</v>
      </c>
      <c r="J23" s="1">
        <f t="shared" si="0"/>
        <v>0.65709156193895868</v>
      </c>
      <c r="K23">
        <v>1</v>
      </c>
      <c r="L23" s="1">
        <f t="shared" si="1"/>
        <v>0.98650306748466265</v>
      </c>
      <c r="M23" s="1">
        <f t="shared" si="2"/>
        <v>0.6147239263803681</v>
      </c>
      <c r="N23" s="1">
        <f t="shared" si="3"/>
        <v>0.60552147239263809</v>
      </c>
    </row>
    <row r="24" spans="1:14" x14ac:dyDescent="0.2">
      <c r="A24">
        <v>100</v>
      </c>
      <c r="B24">
        <v>193.7</v>
      </c>
      <c r="C24">
        <v>77.599999999999994</v>
      </c>
      <c r="D24">
        <v>190.5</v>
      </c>
      <c r="E24">
        <v>76.3</v>
      </c>
      <c r="F24">
        <v>113.1</v>
      </c>
      <c r="G24">
        <v>49.3</v>
      </c>
      <c r="H24">
        <v>113.4</v>
      </c>
      <c r="I24">
        <v>48.2</v>
      </c>
      <c r="J24" s="1">
        <f t="shared" si="0"/>
        <v>0.63171690694626481</v>
      </c>
      <c r="K24">
        <v>1</v>
      </c>
      <c r="L24" s="1">
        <f t="shared" si="1"/>
        <v>0.98347960764068154</v>
      </c>
      <c r="M24" s="1">
        <f t="shared" si="2"/>
        <v>0.58389261744966447</v>
      </c>
      <c r="N24" s="1">
        <f t="shared" si="3"/>
        <v>0.58544140423335056</v>
      </c>
    </row>
    <row r="25" spans="1:14" x14ac:dyDescent="0.2">
      <c r="A25">
        <v>120</v>
      </c>
      <c r="B25">
        <v>224.4</v>
      </c>
      <c r="C25">
        <v>108.1</v>
      </c>
      <c r="D25">
        <v>221.2</v>
      </c>
      <c r="E25">
        <v>106.1</v>
      </c>
      <c r="F25">
        <v>127.9</v>
      </c>
      <c r="G25">
        <v>64.900000000000006</v>
      </c>
      <c r="H25">
        <v>127.3</v>
      </c>
      <c r="I25">
        <v>65</v>
      </c>
      <c r="J25" s="1">
        <f t="shared" si="0"/>
        <v>0.61262959472196044</v>
      </c>
      <c r="K25">
        <v>1</v>
      </c>
      <c r="L25" s="1">
        <f t="shared" si="1"/>
        <v>0.98573975044563267</v>
      </c>
      <c r="M25" s="1">
        <f t="shared" si="2"/>
        <v>0.56996434937611407</v>
      </c>
      <c r="N25" s="1">
        <f t="shared" si="3"/>
        <v>0.5672905525846702</v>
      </c>
    </row>
    <row r="26" spans="1:14" x14ac:dyDescent="0.2">
      <c r="A26">
        <v>140</v>
      </c>
      <c r="B26">
        <v>254.4</v>
      </c>
      <c r="C26">
        <v>140.9</v>
      </c>
      <c r="D26">
        <v>251</v>
      </c>
      <c r="E26">
        <v>136.80000000000001</v>
      </c>
      <c r="F26">
        <v>141.19999999999999</v>
      </c>
      <c r="G26">
        <v>82.9</v>
      </c>
      <c r="H26">
        <v>140.1</v>
      </c>
      <c r="I26">
        <v>81.599999999999994</v>
      </c>
      <c r="J26" s="1">
        <f t="shared" si="0"/>
        <v>0.59649122807017529</v>
      </c>
      <c r="K26">
        <v>1</v>
      </c>
      <c r="L26" s="1">
        <f t="shared" si="1"/>
        <v>0.98663522012578619</v>
      </c>
      <c r="M26" s="1">
        <f t="shared" si="2"/>
        <v>0.55503144654088044</v>
      </c>
      <c r="N26" s="1">
        <f t="shared" si="3"/>
        <v>0.5507075471698113</v>
      </c>
    </row>
    <row r="27" spans="1:14" x14ac:dyDescent="0.2">
      <c r="A27">
        <v>160</v>
      </c>
      <c r="B27">
        <v>285.60000000000002</v>
      </c>
      <c r="C27">
        <v>180.3</v>
      </c>
      <c r="D27">
        <v>282.3</v>
      </c>
      <c r="E27">
        <v>177.7</v>
      </c>
      <c r="F27">
        <v>152.5</v>
      </c>
      <c r="G27">
        <v>102</v>
      </c>
      <c r="H27">
        <v>153.9</v>
      </c>
      <c r="I27">
        <v>101.5</v>
      </c>
      <c r="J27" s="1">
        <f t="shared" si="0"/>
        <v>0.57118739448508726</v>
      </c>
      <c r="K27">
        <v>1</v>
      </c>
      <c r="L27" s="1">
        <f t="shared" si="1"/>
        <v>0.98844537815126043</v>
      </c>
      <c r="M27" s="1">
        <f t="shared" si="2"/>
        <v>0.53396358543417366</v>
      </c>
      <c r="N27" s="1">
        <f t="shared" si="3"/>
        <v>0.53886554621848737</v>
      </c>
    </row>
    <row r="28" spans="1:14" x14ac:dyDescent="0.2">
      <c r="A28">
        <v>180</v>
      </c>
      <c r="B28">
        <v>309.3</v>
      </c>
      <c r="C28">
        <v>230.1</v>
      </c>
      <c r="D28">
        <v>309.3</v>
      </c>
      <c r="E28">
        <v>230</v>
      </c>
      <c r="F28">
        <v>164.6</v>
      </c>
      <c r="G28">
        <v>128.30000000000001</v>
      </c>
      <c r="H28">
        <v>163.30000000000001</v>
      </c>
      <c r="I28">
        <v>126.1</v>
      </c>
      <c r="J28" s="1">
        <f t="shared" si="0"/>
        <v>0.54826086956521736</v>
      </c>
      <c r="K28">
        <v>1</v>
      </c>
      <c r="L28" s="1">
        <f t="shared" si="1"/>
        <v>1</v>
      </c>
      <c r="M28" s="1">
        <f t="shared" si="2"/>
        <v>0.53216941480763014</v>
      </c>
      <c r="N28" s="1">
        <f t="shared" si="3"/>
        <v>0.52796637568703531</v>
      </c>
    </row>
    <row r="29" spans="1:14" x14ac:dyDescent="0.2">
      <c r="A29">
        <v>200</v>
      </c>
      <c r="B29">
        <v>339.6</v>
      </c>
      <c r="C29">
        <v>277.39999999999998</v>
      </c>
      <c r="D29">
        <v>335.9</v>
      </c>
      <c r="E29">
        <v>273.3</v>
      </c>
      <c r="F29">
        <v>175.3</v>
      </c>
      <c r="G29">
        <v>148.4</v>
      </c>
      <c r="H29">
        <v>174.8</v>
      </c>
      <c r="I29">
        <v>149</v>
      </c>
      <c r="J29" s="1">
        <f t="shared" si="0"/>
        <v>0.54518843761434321</v>
      </c>
      <c r="K29">
        <v>1</v>
      </c>
      <c r="L29" s="1">
        <f t="shared" si="1"/>
        <v>0.98910482921083609</v>
      </c>
      <c r="M29" s="1">
        <f t="shared" si="2"/>
        <v>0.51619552414605419</v>
      </c>
      <c r="N29" s="1">
        <f t="shared" si="3"/>
        <v>0.51472320376914016</v>
      </c>
    </row>
    <row r="30" spans="1:14" x14ac:dyDescent="0.2">
      <c r="A30">
        <v>300</v>
      </c>
      <c r="B30">
        <v>467.2</v>
      </c>
      <c r="C30">
        <v>525.5</v>
      </c>
      <c r="D30">
        <v>465.1</v>
      </c>
      <c r="E30">
        <v>521.4</v>
      </c>
      <c r="F30">
        <v>225</v>
      </c>
      <c r="G30">
        <v>253.2</v>
      </c>
      <c r="H30">
        <v>223.5</v>
      </c>
      <c r="I30">
        <v>254.7</v>
      </c>
      <c r="J30" s="1">
        <f t="shared" si="0"/>
        <v>0.48849252013808975</v>
      </c>
      <c r="K30">
        <v>1</v>
      </c>
      <c r="L30" s="1">
        <f t="shared" si="1"/>
        <v>0.9955051369863015</v>
      </c>
      <c r="M30" s="1">
        <f t="shared" si="2"/>
        <v>0.48159246575342468</v>
      </c>
      <c r="N30" s="1">
        <f t="shared" si="3"/>
        <v>0.4783818493150685</v>
      </c>
    </row>
    <row r="31" spans="1:14" x14ac:dyDescent="0.2">
      <c r="A31">
        <v>400</v>
      </c>
      <c r="B31">
        <v>584.9</v>
      </c>
      <c r="C31">
        <v>844.7</v>
      </c>
      <c r="D31">
        <v>580.4</v>
      </c>
      <c r="E31">
        <v>834.7</v>
      </c>
      <c r="F31">
        <v>265.8</v>
      </c>
      <c r="G31">
        <v>374.1</v>
      </c>
      <c r="H31">
        <v>264.7</v>
      </c>
      <c r="I31">
        <v>371.6</v>
      </c>
      <c r="J31" s="1">
        <f t="shared" si="0"/>
        <v>0.44518988858272435</v>
      </c>
      <c r="K31">
        <v>1</v>
      </c>
      <c r="L31" s="1">
        <f t="shared" si="1"/>
        <v>0.99230637715848868</v>
      </c>
      <c r="M31" s="1">
        <f t="shared" si="2"/>
        <v>0.45443665583860493</v>
      </c>
      <c r="N31" s="1">
        <f t="shared" si="3"/>
        <v>0.45255599247734657</v>
      </c>
    </row>
    <row r="32" spans="1:14" x14ac:dyDescent="0.2">
      <c r="A32">
        <v>500</v>
      </c>
      <c r="B32">
        <v>693.6</v>
      </c>
      <c r="C32">
        <v>1264.3</v>
      </c>
      <c r="D32">
        <v>688.5</v>
      </c>
      <c r="E32">
        <v>1250.5999999999999</v>
      </c>
      <c r="F32">
        <v>301.60000000000002</v>
      </c>
      <c r="G32">
        <v>521.29999999999995</v>
      </c>
      <c r="H32">
        <v>303.10000000000002</v>
      </c>
      <c r="I32">
        <v>524.9</v>
      </c>
      <c r="J32" s="1">
        <f t="shared" si="0"/>
        <v>0.41971853510315049</v>
      </c>
      <c r="K32">
        <v>1</v>
      </c>
      <c r="L32" s="1">
        <f t="shared" si="1"/>
        <v>0.99264705882352933</v>
      </c>
      <c r="M32" s="1">
        <f t="shared" si="2"/>
        <v>0.43483275663206461</v>
      </c>
      <c r="N32" s="1">
        <f t="shared" si="3"/>
        <v>0.43699538638985008</v>
      </c>
    </row>
    <row r="33" spans="1:14" x14ac:dyDescent="0.2">
      <c r="A33">
        <v>600</v>
      </c>
      <c r="B33">
        <v>790.9</v>
      </c>
      <c r="C33">
        <v>1688.7</v>
      </c>
      <c r="D33">
        <v>788.6</v>
      </c>
      <c r="E33">
        <v>1676</v>
      </c>
      <c r="F33">
        <v>337.6</v>
      </c>
      <c r="G33">
        <v>658.8</v>
      </c>
      <c r="H33">
        <v>336</v>
      </c>
      <c r="I33">
        <v>659.5</v>
      </c>
      <c r="J33" s="1">
        <f t="shared" si="0"/>
        <v>0.39349642004773272</v>
      </c>
      <c r="K33">
        <v>1</v>
      </c>
      <c r="L33" s="1">
        <f t="shared" si="1"/>
        <v>0.99709192059678853</v>
      </c>
      <c r="M33" s="1">
        <f t="shared" si="2"/>
        <v>0.42685548109748395</v>
      </c>
      <c r="N33" s="1">
        <f t="shared" si="3"/>
        <v>0.42483246933872804</v>
      </c>
    </row>
    <row r="34" spans="1:14" x14ac:dyDescent="0.2">
      <c r="A34">
        <v>700</v>
      </c>
      <c r="B34">
        <v>883.8</v>
      </c>
      <c r="C34">
        <v>2164.8000000000002</v>
      </c>
      <c r="D34">
        <v>874.5</v>
      </c>
      <c r="E34">
        <v>2144.8000000000002</v>
      </c>
      <c r="F34">
        <v>365.7</v>
      </c>
      <c r="G34">
        <v>798.3</v>
      </c>
      <c r="H34">
        <v>363.6</v>
      </c>
      <c r="I34">
        <v>796.2</v>
      </c>
      <c r="J34" s="1">
        <f t="shared" si="0"/>
        <v>0.37122342409548675</v>
      </c>
      <c r="K34">
        <v>1</v>
      </c>
      <c r="L34" s="1">
        <f t="shared" si="1"/>
        <v>0.98947725729803127</v>
      </c>
      <c r="M34" s="1">
        <f t="shared" si="2"/>
        <v>0.4137813985064494</v>
      </c>
      <c r="N34" s="1">
        <f t="shared" si="3"/>
        <v>0.41140529531568232</v>
      </c>
    </row>
    <row r="35" spans="1:14" x14ac:dyDescent="0.2">
      <c r="A35">
        <v>800</v>
      </c>
      <c r="B35">
        <v>968.4</v>
      </c>
      <c r="C35">
        <v>2839.2</v>
      </c>
      <c r="D35">
        <v>961.1</v>
      </c>
      <c r="E35">
        <v>2810.6</v>
      </c>
      <c r="F35">
        <v>393.2</v>
      </c>
      <c r="G35">
        <v>1000.7</v>
      </c>
      <c r="H35">
        <v>395</v>
      </c>
      <c r="I35">
        <v>1010</v>
      </c>
      <c r="J35" s="1">
        <f t="shared" si="0"/>
        <v>0.35935387461751939</v>
      </c>
      <c r="K35">
        <v>1</v>
      </c>
      <c r="L35" s="1">
        <f t="shared" si="1"/>
        <v>0.99246179264766632</v>
      </c>
      <c r="M35" s="1">
        <f t="shared" si="2"/>
        <v>0.40603056588186698</v>
      </c>
      <c r="N35" s="1">
        <f t="shared" si="3"/>
        <v>0.40788930194134654</v>
      </c>
    </row>
    <row r="36" spans="1:14" x14ac:dyDescent="0.2">
      <c r="A36">
        <v>900</v>
      </c>
      <c r="B36">
        <v>1050.3</v>
      </c>
      <c r="C36">
        <v>3486.6</v>
      </c>
      <c r="D36">
        <v>1044.5999999999999</v>
      </c>
      <c r="E36">
        <v>3462.2</v>
      </c>
      <c r="F36">
        <v>420</v>
      </c>
      <c r="G36">
        <v>1178.2</v>
      </c>
      <c r="H36">
        <v>418</v>
      </c>
      <c r="I36">
        <v>1183.3</v>
      </c>
      <c r="J36" s="1">
        <f t="shared" si="0"/>
        <v>0.34177690485818268</v>
      </c>
      <c r="K36">
        <v>1</v>
      </c>
      <c r="L36" s="1">
        <f t="shared" si="1"/>
        <v>0.9945729791488146</v>
      </c>
      <c r="M36" s="1">
        <f t="shared" si="2"/>
        <v>0.39988574692944873</v>
      </c>
      <c r="N36" s="1">
        <f t="shared" si="3"/>
        <v>0.39798152908692758</v>
      </c>
    </row>
    <row r="37" spans="1:14" x14ac:dyDescent="0.2">
      <c r="A37">
        <v>1000</v>
      </c>
      <c r="B37">
        <v>1127.4000000000001</v>
      </c>
      <c r="C37">
        <v>4403.5</v>
      </c>
      <c r="D37">
        <v>1121.8</v>
      </c>
      <c r="E37">
        <v>4389.7</v>
      </c>
      <c r="F37">
        <v>442.5</v>
      </c>
      <c r="G37">
        <v>1445.5</v>
      </c>
      <c r="H37">
        <v>442.5</v>
      </c>
      <c r="I37">
        <v>1457.8</v>
      </c>
      <c r="J37" s="1">
        <f t="shared" si="0"/>
        <v>0.33209558739777206</v>
      </c>
      <c r="K37">
        <v>1</v>
      </c>
      <c r="L37" s="1">
        <f t="shared" si="1"/>
        <v>0.99503281887528816</v>
      </c>
      <c r="M37" s="1">
        <f t="shared" si="2"/>
        <v>0.39249600851516764</v>
      </c>
      <c r="N37" s="1">
        <f t="shared" si="3"/>
        <v>0.39249600851516764</v>
      </c>
    </row>
    <row r="38" spans="1:14" x14ac:dyDescent="0.2">
      <c r="A38">
        <v>1100</v>
      </c>
      <c r="B38">
        <v>1202.7</v>
      </c>
      <c r="C38">
        <v>5023</v>
      </c>
      <c r="D38">
        <v>1200</v>
      </c>
      <c r="E38">
        <v>5008.3999999999996</v>
      </c>
      <c r="F38">
        <v>464.6</v>
      </c>
      <c r="G38">
        <v>1590.1</v>
      </c>
      <c r="H38">
        <v>463.4</v>
      </c>
      <c r="I38">
        <v>1588</v>
      </c>
      <c r="J38" s="1">
        <f t="shared" si="0"/>
        <v>0.31706732689082345</v>
      </c>
      <c r="K38">
        <v>1</v>
      </c>
      <c r="L38" s="1">
        <f t="shared" si="1"/>
        <v>0.99775505113494634</v>
      </c>
      <c r="M38" s="1">
        <f t="shared" si="2"/>
        <v>0.38629749729774676</v>
      </c>
      <c r="N38" s="1">
        <f t="shared" si="3"/>
        <v>0.38529974224661173</v>
      </c>
    </row>
    <row r="39" spans="1:14" x14ac:dyDescent="0.2">
      <c r="A39">
        <v>1200</v>
      </c>
      <c r="B39">
        <v>1273.3</v>
      </c>
      <c r="C39">
        <v>5720.1</v>
      </c>
      <c r="D39">
        <v>1266.0999999999999</v>
      </c>
      <c r="E39">
        <v>5681.4</v>
      </c>
      <c r="F39">
        <v>487.4</v>
      </c>
      <c r="G39">
        <v>1752.6</v>
      </c>
      <c r="H39">
        <v>486.9</v>
      </c>
      <c r="I39">
        <v>1752</v>
      </c>
      <c r="J39" s="1">
        <f t="shared" si="0"/>
        <v>0.30837469637765341</v>
      </c>
      <c r="K39">
        <v>1</v>
      </c>
      <c r="L39" s="1">
        <f t="shared" si="1"/>
        <v>0.99434540171208663</v>
      </c>
      <c r="M39" s="1">
        <f t="shared" si="2"/>
        <v>0.3827848896567973</v>
      </c>
      <c r="N39" s="1">
        <f t="shared" si="3"/>
        <v>0.38239220922013667</v>
      </c>
    </row>
    <row r="40" spans="1:14" x14ac:dyDescent="0.2">
      <c r="A40">
        <v>1300</v>
      </c>
      <c r="B40">
        <v>1337.1</v>
      </c>
      <c r="C40">
        <v>6616.2</v>
      </c>
      <c r="D40">
        <v>1329.6</v>
      </c>
      <c r="E40">
        <v>6571.6</v>
      </c>
      <c r="F40">
        <v>505.3</v>
      </c>
      <c r="G40">
        <v>1976.2</v>
      </c>
      <c r="H40">
        <v>504.1</v>
      </c>
      <c r="I40">
        <v>1964.3</v>
      </c>
      <c r="J40" s="1">
        <f t="shared" si="0"/>
        <v>0.29890741980643981</v>
      </c>
      <c r="K40">
        <v>1</v>
      </c>
      <c r="L40" s="1">
        <f t="shared" si="1"/>
        <v>0.99439084586044424</v>
      </c>
      <c r="M40" s="1">
        <f t="shared" si="2"/>
        <v>0.37790741156233643</v>
      </c>
      <c r="N40" s="1">
        <f t="shared" si="3"/>
        <v>0.3770099469000075</v>
      </c>
    </row>
    <row r="41" spans="1:14" x14ac:dyDescent="0.2">
      <c r="A41">
        <v>1400</v>
      </c>
      <c r="B41">
        <v>1396.1</v>
      </c>
      <c r="C41">
        <v>7298.8</v>
      </c>
      <c r="D41">
        <v>1388.5</v>
      </c>
      <c r="E41">
        <v>7225.5</v>
      </c>
      <c r="F41">
        <v>522.70000000000005</v>
      </c>
      <c r="G41">
        <v>2121</v>
      </c>
      <c r="H41">
        <v>523.70000000000005</v>
      </c>
      <c r="I41">
        <v>2120.5</v>
      </c>
      <c r="J41" s="1">
        <f t="shared" si="0"/>
        <v>0.29347450003459968</v>
      </c>
      <c r="K41">
        <v>1</v>
      </c>
      <c r="L41" s="1">
        <f t="shared" si="1"/>
        <v>0.99455626387794582</v>
      </c>
      <c r="M41" s="1">
        <f t="shared" si="2"/>
        <v>0.37440011460497102</v>
      </c>
      <c r="N41" s="1">
        <f t="shared" si="3"/>
        <v>0.3751163956736624</v>
      </c>
    </row>
    <row r="42" spans="1:14" x14ac:dyDescent="0.2">
      <c r="A42">
        <v>1500</v>
      </c>
      <c r="B42">
        <v>1459.1</v>
      </c>
      <c r="C42">
        <v>7599.3</v>
      </c>
      <c r="D42">
        <v>1451.5</v>
      </c>
      <c r="E42">
        <v>7559.7</v>
      </c>
      <c r="F42">
        <v>541.6</v>
      </c>
      <c r="G42">
        <v>2165.8000000000002</v>
      </c>
      <c r="H42">
        <v>538.9</v>
      </c>
      <c r="I42">
        <v>2153</v>
      </c>
      <c r="J42" s="1">
        <f t="shared" si="0"/>
        <v>0.2847996613622234</v>
      </c>
      <c r="K42">
        <v>1</v>
      </c>
      <c r="L42" s="1">
        <f t="shared" si="1"/>
        <v>0.99479130971146601</v>
      </c>
      <c r="M42" s="1">
        <f t="shared" si="2"/>
        <v>0.37118771845658288</v>
      </c>
      <c r="N42" s="1">
        <f t="shared" si="3"/>
        <v>0.36933726269618261</v>
      </c>
    </row>
    <row r="43" spans="1:14" x14ac:dyDescent="0.2">
      <c r="A43">
        <v>1600</v>
      </c>
      <c r="B43">
        <v>1514.8</v>
      </c>
      <c r="C43">
        <v>8432</v>
      </c>
      <c r="D43">
        <v>1510</v>
      </c>
      <c r="E43">
        <v>8376.2000000000007</v>
      </c>
      <c r="F43">
        <v>555.4</v>
      </c>
      <c r="G43">
        <v>2337.5</v>
      </c>
      <c r="H43">
        <v>558.29999999999995</v>
      </c>
      <c r="I43">
        <v>2351.6</v>
      </c>
      <c r="J43" s="1">
        <f t="shared" si="0"/>
        <v>0.28074783314629542</v>
      </c>
      <c r="K43">
        <v>1</v>
      </c>
      <c r="L43" s="1">
        <f t="shared" si="1"/>
        <v>0.99683126485344598</v>
      </c>
      <c r="M43" s="1">
        <f t="shared" si="2"/>
        <v>0.36664906258251911</v>
      </c>
      <c r="N43" s="1">
        <f t="shared" si="3"/>
        <v>0.36856350673356214</v>
      </c>
    </row>
    <row r="44" spans="1:14" x14ac:dyDescent="0.2">
      <c r="A44">
        <v>1700</v>
      </c>
      <c r="B44">
        <v>1574.2</v>
      </c>
      <c r="C44">
        <v>9522.2000000000007</v>
      </c>
      <c r="D44">
        <v>1569.5</v>
      </c>
      <c r="E44">
        <v>9494.7999999999993</v>
      </c>
      <c r="F44">
        <v>572.9</v>
      </c>
      <c r="G44">
        <v>2589.5</v>
      </c>
      <c r="H44">
        <v>574.20000000000005</v>
      </c>
      <c r="I44">
        <v>2596.8000000000002</v>
      </c>
      <c r="J44" s="1">
        <f t="shared" si="0"/>
        <v>0.27349707208156049</v>
      </c>
      <c r="K44">
        <v>1</v>
      </c>
      <c r="L44" s="1">
        <f t="shared" si="1"/>
        <v>0.99701435649853887</v>
      </c>
      <c r="M44" s="1">
        <f t="shared" si="2"/>
        <v>0.36393088552915764</v>
      </c>
      <c r="N44" s="1">
        <f t="shared" si="3"/>
        <v>0.36475670181679587</v>
      </c>
    </row>
    <row r="45" spans="1:14" x14ac:dyDescent="0.2">
      <c r="A45">
        <v>1800</v>
      </c>
      <c r="B45">
        <v>1629.7</v>
      </c>
      <c r="C45">
        <v>10622.6</v>
      </c>
      <c r="D45">
        <v>1620.7</v>
      </c>
      <c r="E45">
        <v>10543</v>
      </c>
      <c r="F45">
        <v>589.29999999999995</v>
      </c>
      <c r="G45">
        <v>2832.4</v>
      </c>
      <c r="H45">
        <v>589.20000000000005</v>
      </c>
      <c r="I45">
        <v>2824.3</v>
      </c>
      <c r="J45" s="1">
        <f t="shared" si="0"/>
        <v>0.26788390401214079</v>
      </c>
      <c r="K45">
        <v>1</v>
      </c>
      <c r="L45" s="1">
        <f t="shared" si="1"/>
        <v>0.99447751119838002</v>
      </c>
      <c r="M45" s="1">
        <f t="shared" si="2"/>
        <v>0.36160029453273607</v>
      </c>
      <c r="N45" s="1">
        <f t="shared" si="3"/>
        <v>0.36153893354605143</v>
      </c>
    </row>
    <row r="46" spans="1:14" x14ac:dyDescent="0.2">
      <c r="A46">
        <v>1900</v>
      </c>
      <c r="B46">
        <v>1670.8</v>
      </c>
      <c r="C46">
        <v>11325.9</v>
      </c>
      <c r="D46">
        <v>1671.4</v>
      </c>
      <c r="E46">
        <v>11333</v>
      </c>
      <c r="F46">
        <v>604.29999999999995</v>
      </c>
      <c r="G46">
        <v>2974.2</v>
      </c>
      <c r="H46">
        <v>602.70000000000005</v>
      </c>
      <c r="I46">
        <v>2968.8</v>
      </c>
      <c r="J46" s="1">
        <f t="shared" si="0"/>
        <v>0.26196064590135004</v>
      </c>
      <c r="K46">
        <v>1</v>
      </c>
      <c r="L46" s="1">
        <f t="shared" si="1"/>
        <v>1.0003591094086666</v>
      </c>
      <c r="M46" s="1">
        <f t="shared" si="2"/>
        <v>0.36168302609528369</v>
      </c>
      <c r="N46" s="1">
        <f t="shared" si="3"/>
        <v>0.36072540100550637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  <row r="50" spans="12:14" x14ac:dyDescent="0.2">
      <c r="L50" s="1"/>
      <c r="M50" s="1"/>
      <c r="N50" s="1"/>
    </row>
    <row r="51" spans="12:14" x14ac:dyDescent="0.2">
      <c r="L51" s="1"/>
      <c r="M51" s="1"/>
      <c r="N51" s="1"/>
    </row>
    <row r="52" spans="12:14" x14ac:dyDescent="0.2">
      <c r="L52" s="1"/>
      <c r="M52" s="1"/>
      <c r="N52" s="1"/>
    </row>
    <row r="53" spans="12:14" x14ac:dyDescent="0.2">
      <c r="L53" s="1"/>
      <c r="M53" s="1"/>
      <c r="N53" s="1"/>
    </row>
    <row r="54" spans="12:14" x14ac:dyDescent="0.2">
      <c r="L54" s="1"/>
      <c r="M54" s="1"/>
      <c r="N54" s="1"/>
    </row>
    <row r="55" spans="12:14" x14ac:dyDescent="0.2">
      <c r="L55" s="1"/>
      <c r="M55" s="1"/>
      <c r="N55" s="1"/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4F460-F86E-7C4A-B7F3-1237ED3448DF}">
  <dimension ref="A1:N57"/>
  <sheetViews>
    <sheetView workbookViewId="0">
      <selection activeCell="J1" sqref="J1:J46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67</v>
      </c>
      <c r="K1" t="s">
        <v>60</v>
      </c>
      <c r="L1" t="s">
        <v>61</v>
      </c>
      <c r="M1" t="s">
        <v>5</v>
      </c>
      <c r="N1" t="s">
        <v>57</v>
      </c>
    </row>
    <row r="2" spans="1:14" x14ac:dyDescent="0.2">
      <c r="A2">
        <v>2</v>
      </c>
      <c r="B2">
        <v>10</v>
      </c>
      <c r="C2">
        <v>1</v>
      </c>
      <c r="D2">
        <v>7.1</v>
      </c>
      <c r="E2">
        <v>1.2</v>
      </c>
      <c r="F2">
        <v>10</v>
      </c>
      <c r="G2">
        <v>2.9</v>
      </c>
      <c r="H2">
        <v>6.5</v>
      </c>
      <c r="I2">
        <v>2.7</v>
      </c>
      <c r="J2" s="1">
        <f t="shared" ref="J2:J46" si="0">I2/E2</f>
        <v>2.2500000000000004</v>
      </c>
      <c r="K2">
        <v>1</v>
      </c>
      <c r="L2" s="1">
        <f t="shared" ref="L2:L29" si="1">D2/B2</f>
        <v>0.71</v>
      </c>
      <c r="M2" s="1">
        <f t="shared" ref="M2:M29" si="2">F2/B2</f>
        <v>1</v>
      </c>
      <c r="N2" s="1">
        <f t="shared" ref="N2:N29" si="3">H2/B2</f>
        <v>0.65</v>
      </c>
    </row>
    <row r="3" spans="1:14" x14ac:dyDescent="0.2">
      <c r="A3">
        <v>4</v>
      </c>
      <c r="B3">
        <v>17</v>
      </c>
      <c r="C3">
        <v>1.5</v>
      </c>
      <c r="D3">
        <v>14.8</v>
      </c>
      <c r="E3">
        <v>1.4</v>
      </c>
      <c r="F3">
        <v>14.9</v>
      </c>
      <c r="G3">
        <v>3.2</v>
      </c>
      <c r="H3">
        <v>12.5</v>
      </c>
      <c r="I3">
        <v>3.1</v>
      </c>
      <c r="J3" s="1">
        <f t="shared" si="0"/>
        <v>2.2142857142857144</v>
      </c>
      <c r="K3">
        <v>1</v>
      </c>
      <c r="L3" s="1">
        <f t="shared" si="1"/>
        <v>0.87058823529411766</v>
      </c>
      <c r="M3" s="1">
        <f t="shared" si="2"/>
        <v>0.87647058823529411</v>
      </c>
      <c r="N3" s="1">
        <f t="shared" si="3"/>
        <v>0.73529411764705888</v>
      </c>
    </row>
    <row r="4" spans="1:14" x14ac:dyDescent="0.2">
      <c r="A4">
        <v>6</v>
      </c>
      <c r="B4">
        <v>24.3</v>
      </c>
      <c r="C4">
        <v>2.1</v>
      </c>
      <c r="D4">
        <v>21.5</v>
      </c>
      <c r="E4">
        <v>1.9</v>
      </c>
      <c r="F4">
        <v>19.8</v>
      </c>
      <c r="G4">
        <v>3.7</v>
      </c>
      <c r="H4">
        <v>17.600000000000001</v>
      </c>
      <c r="I4">
        <v>3.6</v>
      </c>
      <c r="J4" s="1">
        <f t="shared" si="0"/>
        <v>1.8947368421052633</v>
      </c>
      <c r="K4">
        <v>1</v>
      </c>
      <c r="L4" s="1">
        <f t="shared" si="1"/>
        <v>0.8847736625514403</v>
      </c>
      <c r="M4" s="1">
        <f t="shared" si="2"/>
        <v>0.81481481481481477</v>
      </c>
      <c r="N4" s="1">
        <f t="shared" si="3"/>
        <v>0.72427983539094654</v>
      </c>
    </row>
    <row r="5" spans="1:14" x14ac:dyDescent="0.2">
      <c r="A5">
        <v>8</v>
      </c>
      <c r="B5">
        <v>29.7</v>
      </c>
      <c r="C5">
        <v>2.5</v>
      </c>
      <c r="D5">
        <v>26.7</v>
      </c>
      <c r="E5">
        <v>2.4</v>
      </c>
      <c r="F5">
        <v>24.1</v>
      </c>
      <c r="G5">
        <v>4</v>
      </c>
      <c r="H5">
        <v>22.2</v>
      </c>
      <c r="I5">
        <v>4</v>
      </c>
      <c r="J5" s="1">
        <f t="shared" si="0"/>
        <v>1.6666666666666667</v>
      </c>
      <c r="K5">
        <v>1</v>
      </c>
      <c r="L5" s="1">
        <f t="shared" si="1"/>
        <v>0.89898989898989901</v>
      </c>
      <c r="M5" s="1">
        <f t="shared" si="2"/>
        <v>0.81144781144781153</v>
      </c>
      <c r="N5" s="1">
        <f t="shared" si="3"/>
        <v>0.74747474747474751</v>
      </c>
    </row>
    <row r="6" spans="1:14" x14ac:dyDescent="0.2">
      <c r="A6">
        <v>10</v>
      </c>
      <c r="B6">
        <v>34.700000000000003</v>
      </c>
      <c r="C6">
        <v>3.3</v>
      </c>
      <c r="D6">
        <v>32.6</v>
      </c>
      <c r="E6">
        <v>3.1</v>
      </c>
      <c r="F6">
        <v>27.5</v>
      </c>
      <c r="G6">
        <v>4.5999999999999996</v>
      </c>
      <c r="H6">
        <v>25.7</v>
      </c>
      <c r="I6">
        <v>4.5</v>
      </c>
      <c r="J6" s="1">
        <f t="shared" si="0"/>
        <v>1.4516129032258065</v>
      </c>
      <c r="K6">
        <v>1</v>
      </c>
      <c r="L6" s="1">
        <f t="shared" si="1"/>
        <v>0.93948126801152732</v>
      </c>
      <c r="M6" s="1">
        <f t="shared" si="2"/>
        <v>0.79250720461095092</v>
      </c>
      <c r="N6" s="1">
        <f t="shared" si="3"/>
        <v>0.74063400576368865</v>
      </c>
    </row>
    <row r="7" spans="1:14" x14ac:dyDescent="0.2">
      <c r="A7">
        <v>12</v>
      </c>
      <c r="B7">
        <v>38.200000000000003</v>
      </c>
      <c r="C7">
        <v>3.6</v>
      </c>
      <c r="D7">
        <v>36.5</v>
      </c>
      <c r="E7">
        <v>3.5</v>
      </c>
      <c r="F7">
        <v>29.9</v>
      </c>
      <c r="G7">
        <v>5</v>
      </c>
      <c r="H7">
        <v>28.9</v>
      </c>
      <c r="I7">
        <v>4.7</v>
      </c>
      <c r="J7" s="1">
        <f t="shared" si="0"/>
        <v>1.342857142857143</v>
      </c>
      <c r="K7">
        <v>1</v>
      </c>
      <c r="L7" s="1">
        <f t="shared" si="1"/>
        <v>0.95549738219895286</v>
      </c>
      <c r="M7" s="1">
        <f t="shared" si="2"/>
        <v>0.78272251308900509</v>
      </c>
      <c r="N7" s="1">
        <f t="shared" si="3"/>
        <v>0.75654450261780093</v>
      </c>
    </row>
    <row r="8" spans="1:14" x14ac:dyDescent="0.2">
      <c r="A8">
        <v>14</v>
      </c>
      <c r="B8">
        <v>42.2</v>
      </c>
      <c r="C8">
        <v>4.2</v>
      </c>
      <c r="D8">
        <v>40.5</v>
      </c>
      <c r="E8">
        <v>4</v>
      </c>
      <c r="F8">
        <v>32.700000000000003</v>
      </c>
      <c r="G8">
        <v>5.3</v>
      </c>
      <c r="H8">
        <v>31.3</v>
      </c>
      <c r="I8">
        <v>5.0999999999999996</v>
      </c>
      <c r="J8" s="1">
        <f t="shared" si="0"/>
        <v>1.2749999999999999</v>
      </c>
      <c r="K8">
        <v>1</v>
      </c>
      <c r="L8" s="1">
        <f t="shared" si="1"/>
        <v>0.95971563981042651</v>
      </c>
      <c r="M8" s="1">
        <f t="shared" si="2"/>
        <v>0.77488151658767779</v>
      </c>
      <c r="N8" s="1">
        <f t="shared" si="3"/>
        <v>0.7417061611374407</v>
      </c>
    </row>
    <row r="9" spans="1:14" x14ac:dyDescent="0.2">
      <c r="A9">
        <v>16</v>
      </c>
      <c r="B9">
        <v>46.7</v>
      </c>
      <c r="C9">
        <v>4.9000000000000004</v>
      </c>
      <c r="D9">
        <v>44.4</v>
      </c>
      <c r="E9">
        <v>4.5</v>
      </c>
      <c r="F9">
        <v>35.5</v>
      </c>
      <c r="G9">
        <v>5.6</v>
      </c>
      <c r="H9">
        <v>34.299999999999997</v>
      </c>
      <c r="I9">
        <v>5.4</v>
      </c>
      <c r="J9" s="1">
        <f t="shared" si="0"/>
        <v>1.2000000000000002</v>
      </c>
      <c r="K9">
        <v>1</v>
      </c>
      <c r="L9" s="1">
        <f t="shared" si="1"/>
        <v>0.95074946466809418</v>
      </c>
      <c r="M9" s="1">
        <f t="shared" si="2"/>
        <v>0.76017130620985007</v>
      </c>
      <c r="N9" s="1">
        <f t="shared" si="3"/>
        <v>0.73447537473233393</v>
      </c>
    </row>
    <row r="10" spans="1:14" x14ac:dyDescent="0.2">
      <c r="A10">
        <v>18</v>
      </c>
      <c r="B10">
        <v>49.8</v>
      </c>
      <c r="C10">
        <v>5.2</v>
      </c>
      <c r="D10">
        <v>47.1</v>
      </c>
      <c r="E10">
        <v>5.2</v>
      </c>
      <c r="F10">
        <v>37.1</v>
      </c>
      <c r="G10">
        <v>5.9</v>
      </c>
      <c r="H10">
        <v>36.200000000000003</v>
      </c>
      <c r="I10">
        <v>5.7</v>
      </c>
      <c r="J10" s="1">
        <f t="shared" si="0"/>
        <v>1.0961538461538463</v>
      </c>
      <c r="K10">
        <v>1</v>
      </c>
      <c r="L10" s="1">
        <f t="shared" si="1"/>
        <v>0.94578313253012058</v>
      </c>
      <c r="M10" s="1">
        <f t="shared" si="2"/>
        <v>0.74497991967871491</v>
      </c>
      <c r="N10" s="1">
        <f t="shared" si="3"/>
        <v>0.7269076305220884</v>
      </c>
    </row>
    <row r="11" spans="1:14" x14ac:dyDescent="0.2">
      <c r="A11">
        <v>20</v>
      </c>
      <c r="B11">
        <v>52.5</v>
      </c>
      <c r="C11">
        <v>5.6</v>
      </c>
      <c r="D11">
        <v>51.1</v>
      </c>
      <c r="E11">
        <v>5.5</v>
      </c>
      <c r="F11">
        <v>39.700000000000003</v>
      </c>
      <c r="G11">
        <v>6.3</v>
      </c>
      <c r="H11">
        <v>38.200000000000003</v>
      </c>
      <c r="I11">
        <v>6</v>
      </c>
      <c r="J11" s="1">
        <f t="shared" si="0"/>
        <v>1.0909090909090908</v>
      </c>
      <c r="K11">
        <v>1</v>
      </c>
      <c r="L11" s="1">
        <f t="shared" si="1"/>
        <v>0.97333333333333338</v>
      </c>
      <c r="M11" s="1">
        <f t="shared" si="2"/>
        <v>0.75619047619047619</v>
      </c>
      <c r="N11" s="1">
        <f t="shared" si="3"/>
        <v>0.72761904761904772</v>
      </c>
    </row>
    <row r="12" spans="1:14" x14ac:dyDescent="0.2">
      <c r="A12">
        <v>22</v>
      </c>
      <c r="B12">
        <v>57.1</v>
      </c>
      <c r="C12">
        <v>7.1</v>
      </c>
      <c r="D12">
        <v>54.9</v>
      </c>
      <c r="E12">
        <v>6.7</v>
      </c>
      <c r="F12">
        <v>41.3</v>
      </c>
      <c r="G12">
        <v>7.3</v>
      </c>
      <c r="H12">
        <v>40.6</v>
      </c>
      <c r="I12">
        <v>7.1</v>
      </c>
      <c r="J12" s="1">
        <f t="shared" si="0"/>
        <v>1.0597014925373134</v>
      </c>
      <c r="K12">
        <v>1</v>
      </c>
      <c r="L12" s="1">
        <f t="shared" si="1"/>
        <v>0.96147110332749552</v>
      </c>
      <c r="M12" s="1">
        <f t="shared" si="2"/>
        <v>0.72329246935201397</v>
      </c>
      <c r="N12" s="1">
        <f t="shared" si="3"/>
        <v>0.71103327495621715</v>
      </c>
    </row>
    <row r="13" spans="1:14" x14ac:dyDescent="0.2">
      <c r="A13">
        <v>24</v>
      </c>
      <c r="B13">
        <v>59.4</v>
      </c>
      <c r="C13">
        <v>7.1</v>
      </c>
      <c r="D13">
        <v>57.5</v>
      </c>
      <c r="E13">
        <v>6.7</v>
      </c>
      <c r="F13">
        <v>42.9</v>
      </c>
      <c r="G13">
        <v>7.1</v>
      </c>
      <c r="H13">
        <v>42.2</v>
      </c>
      <c r="I13">
        <v>7</v>
      </c>
      <c r="J13" s="1">
        <f t="shared" si="0"/>
        <v>1.044776119402985</v>
      </c>
      <c r="K13">
        <v>1</v>
      </c>
      <c r="L13" s="1">
        <f t="shared" si="1"/>
        <v>0.96801346801346799</v>
      </c>
      <c r="M13" s="1">
        <f t="shared" si="2"/>
        <v>0.72222222222222221</v>
      </c>
      <c r="N13" s="1">
        <f t="shared" si="3"/>
        <v>0.71043771043771053</v>
      </c>
    </row>
    <row r="14" spans="1:14" x14ac:dyDescent="0.2">
      <c r="A14">
        <v>26</v>
      </c>
      <c r="B14">
        <v>63.7</v>
      </c>
      <c r="C14">
        <v>8.4</v>
      </c>
      <c r="D14">
        <v>60.3</v>
      </c>
      <c r="E14">
        <v>7.8</v>
      </c>
      <c r="F14">
        <v>45.3</v>
      </c>
      <c r="G14">
        <v>8.1999999999999993</v>
      </c>
      <c r="H14">
        <v>43.8</v>
      </c>
      <c r="I14">
        <v>8</v>
      </c>
      <c r="J14" s="1">
        <f t="shared" si="0"/>
        <v>1.0256410256410258</v>
      </c>
      <c r="K14">
        <v>1</v>
      </c>
      <c r="L14" s="1">
        <f t="shared" si="1"/>
        <v>0.94662480376766078</v>
      </c>
      <c r="M14" s="1">
        <f t="shared" si="2"/>
        <v>0.71114599686028246</v>
      </c>
      <c r="N14" s="1">
        <f t="shared" si="3"/>
        <v>0.68759811616954469</v>
      </c>
    </row>
    <row r="15" spans="1:14" x14ac:dyDescent="0.2">
      <c r="A15">
        <v>28</v>
      </c>
      <c r="B15">
        <v>66.7</v>
      </c>
      <c r="C15">
        <v>8.8000000000000007</v>
      </c>
      <c r="D15">
        <v>64</v>
      </c>
      <c r="E15">
        <v>8.1999999999999993</v>
      </c>
      <c r="F15">
        <v>47.7</v>
      </c>
      <c r="G15">
        <v>8.6</v>
      </c>
      <c r="H15">
        <v>46.9</v>
      </c>
      <c r="I15">
        <v>8.1</v>
      </c>
      <c r="J15" s="1">
        <f t="shared" si="0"/>
        <v>0.98780487804878048</v>
      </c>
      <c r="K15">
        <v>1</v>
      </c>
      <c r="L15" s="1">
        <f t="shared" si="1"/>
        <v>0.95952023988005997</v>
      </c>
      <c r="M15" s="1">
        <f t="shared" si="2"/>
        <v>0.71514242878560719</v>
      </c>
      <c r="N15" s="1">
        <f t="shared" si="3"/>
        <v>0.70314842578710635</v>
      </c>
    </row>
    <row r="16" spans="1:14" x14ac:dyDescent="0.2">
      <c r="A16">
        <v>30</v>
      </c>
      <c r="B16">
        <v>70.400000000000006</v>
      </c>
      <c r="C16">
        <v>9.3000000000000007</v>
      </c>
      <c r="D16">
        <v>67.2</v>
      </c>
      <c r="E16">
        <v>8.9</v>
      </c>
      <c r="F16">
        <v>49.5</v>
      </c>
      <c r="G16">
        <v>9</v>
      </c>
      <c r="H16">
        <v>48.6</v>
      </c>
      <c r="I16">
        <v>8.6</v>
      </c>
      <c r="J16" s="1">
        <f t="shared" si="0"/>
        <v>0.96629213483146059</v>
      </c>
      <c r="K16">
        <v>1</v>
      </c>
      <c r="L16" s="1">
        <f t="shared" si="1"/>
        <v>0.95454545454545447</v>
      </c>
      <c r="M16" s="1">
        <f t="shared" si="2"/>
        <v>0.70312499999999989</v>
      </c>
      <c r="N16" s="1">
        <f t="shared" si="3"/>
        <v>0.69034090909090906</v>
      </c>
    </row>
    <row r="17" spans="1:14" x14ac:dyDescent="0.2">
      <c r="A17">
        <v>32</v>
      </c>
      <c r="B17">
        <v>73</v>
      </c>
      <c r="C17">
        <v>10.1</v>
      </c>
      <c r="D17">
        <v>70.099999999999994</v>
      </c>
      <c r="E17">
        <v>9.6</v>
      </c>
      <c r="F17">
        <v>50.9</v>
      </c>
      <c r="G17">
        <v>9.5</v>
      </c>
      <c r="H17">
        <v>49.4</v>
      </c>
      <c r="I17">
        <v>9</v>
      </c>
      <c r="J17" s="1">
        <f t="shared" si="0"/>
        <v>0.9375</v>
      </c>
      <c r="K17">
        <v>1</v>
      </c>
      <c r="L17" s="1">
        <f t="shared" si="1"/>
        <v>0.96027397260273961</v>
      </c>
      <c r="M17" s="1">
        <f t="shared" si="2"/>
        <v>0.69726027397260271</v>
      </c>
      <c r="N17" s="1">
        <f t="shared" si="3"/>
        <v>0.67671232876712328</v>
      </c>
    </row>
    <row r="18" spans="1:14" x14ac:dyDescent="0.2">
      <c r="A18">
        <v>34</v>
      </c>
      <c r="B18">
        <v>76.8</v>
      </c>
      <c r="C18">
        <v>11.2</v>
      </c>
      <c r="D18">
        <v>75</v>
      </c>
      <c r="E18">
        <v>11</v>
      </c>
      <c r="F18">
        <v>52.4</v>
      </c>
      <c r="G18">
        <v>10.3</v>
      </c>
      <c r="H18">
        <v>52.3</v>
      </c>
      <c r="I18">
        <v>10.199999999999999</v>
      </c>
      <c r="J18" s="1">
        <f t="shared" si="0"/>
        <v>0.92727272727272725</v>
      </c>
      <c r="K18">
        <v>1</v>
      </c>
      <c r="L18" s="1">
        <f t="shared" si="1"/>
        <v>0.9765625</v>
      </c>
      <c r="M18" s="1">
        <f t="shared" si="2"/>
        <v>0.68229166666666663</v>
      </c>
      <c r="N18" s="1">
        <f t="shared" si="3"/>
        <v>0.68098958333333337</v>
      </c>
    </row>
    <row r="19" spans="1:14" x14ac:dyDescent="0.2">
      <c r="A19">
        <v>36</v>
      </c>
      <c r="B19">
        <v>78.099999999999994</v>
      </c>
      <c r="C19">
        <v>11.9</v>
      </c>
      <c r="D19">
        <v>75.8</v>
      </c>
      <c r="E19">
        <v>11.5</v>
      </c>
      <c r="F19">
        <v>53.2</v>
      </c>
      <c r="G19">
        <v>10.7</v>
      </c>
      <c r="H19">
        <v>53.1</v>
      </c>
      <c r="I19">
        <v>10.4</v>
      </c>
      <c r="J19" s="1">
        <f t="shared" si="0"/>
        <v>0.90434782608695652</v>
      </c>
      <c r="K19">
        <v>1</v>
      </c>
      <c r="L19" s="1">
        <f t="shared" si="1"/>
        <v>0.97055057618437901</v>
      </c>
      <c r="M19" s="1">
        <f t="shared" si="2"/>
        <v>0.68117797695262494</v>
      </c>
      <c r="N19" s="1">
        <f t="shared" si="3"/>
        <v>0.67989756722151096</v>
      </c>
    </row>
    <row r="20" spans="1:14" x14ac:dyDescent="0.2">
      <c r="A20">
        <v>38</v>
      </c>
      <c r="B20">
        <v>81.5</v>
      </c>
      <c r="C20">
        <v>13.4</v>
      </c>
      <c r="D20">
        <v>79.7</v>
      </c>
      <c r="E20">
        <v>13.4</v>
      </c>
      <c r="F20">
        <v>55.2</v>
      </c>
      <c r="G20">
        <v>12</v>
      </c>
      <c r="H20">
        <v>54.5</v>
      </c>
      <c r="I20">
        <v>11.5</v>
      </c>
      <c r="J20" s="1">
        <f t="shared" si="0"/>
        <v>0.85820895522388052</v>
      </c>
      <c r="K20">
        <v>1</v>
      </c>
      <c r="L20" s="1">
        <f t="shared" si="1"/>
        <v>0.97791411042944787</v>
      </c>
      <c r="M20" s="1">
        <f t="shared" si="2"/>
        <v>0.6773006134969326</v>
      </c>
      <c r="N20" s="1">
        <f t="shared" si="3"/>
        <v>0.66871165644171782</v>
      </c>
    </row>
    <row r="21" spans="1:14" x14ac:dyDescent="0.2">
      <c r="A21">
        <v>40</v>
      </c>
      <c r="B21">
        <v>83.5</v>
      </c>
      <c r="C21">
        <v>13.8</v>
      </c>
      <c r="D21">
        <v>82.1</v>
      </c>
      <c r="E21">
        <v>13.6</v>
      </c>
      <c r="F21">
        <v>57.7</v>
      </c>
      <c r="G21">
        <v>12.4</v>
      </c>
      <c r="H21">
        <v>56.1</v>
      </c>
      <c r="I21">
        <v>11.7</v>
      </c>
      <c r="J21" s="1">
        <f t="shared" si="0"/>
        <v>0.86029411764705876</v>
      </c>
      <c r="K21">
        <v>1</v>
      </c>
      <c r="L21" s="1">
        <f t="shared" si="1"/>
        <v>0.98323353293413163</v>
      </c>
      <c r="M21" s="1">
        <f t="shared" si="2"/>
        <v>0.69101796407185634</v>
      </c>
      <c r="N21" s="1">
        <f t="shared" si="3"/>
        <v>0.67185628742514969</v>
      </c>
    </row>
    <row r="22" spans="1:14" x14ac:dyDescent="0.2">
      <c r="A22">
        <v>60</v>
      </c>
      <c r="B22">
        <v>112.4</v>
      </c>
      <c r="C22">
        <v>22.4</v>
      </c>
      <c r="D22">
        <v>110</v>
      </c>
      <c r="E22">
        <v>22</v>
      </c>
      <c r="F22">
        <v>71.400000000000006</v>
      </c>
      <c r="G22">
        <v>17.3</v>
      </c>
      <c r="H22">
        <v>71.099999999999994</v>
      </c>
      <c r="I22">
        <v>17.2</v>
      </c>
      <c r="J22" s="1">
        <f t="shared" si="0"/>
        <v>0.78181818181818175</v>
      </c>
      <c r="K22">
        <v>1</v>
      </c>
      <c r="L22" s="1">
        <f t="shared" si="1"/>
        <v>0.97864768683274017</v>
      </c>
      <c r="M22" s="1">
        <f t="shared" si="2"/>
        <v>0.63523131672597866</v>
      </c>
      <c r="N22" s="1">
        <f t="shared" si="3"/>
        <v>0.63256227758007111</v>
      </c>
    </row>
    <row r="23" spans="1:14" x14ac:dyDescent="0.2">
      <c r="A23">
        <v>80</v>
      </c>
      <c r="B23">
        <v>138.4</v>
      </c>
      <c r="C23">
        <v>32.799999999999997</v>
      </c>
      <c r="D23">
        <v>135.19999999999999</v>
      </c>
      <c r="E23">
        <v>31.8</v>
      </c>
      <c r="F23">
        <v>84.2</v>
      </c>
      <c r="G23">
        <v>23.3</v>
      </c>
      <c r="H23">
        <v>83.1</v>
      </c>
      <c r="I23">
        <v>23</v>
      </c>
      <c r="J23" s="1">
        <f t="shared" si="0"/>
        <v>0.72327044025157228</v>
      </c>
      <c r="K23">
        <v>1</v>
      </c>
      <c r="L23" s="1">
        <f t="shared" si="1"/>
        <v>0.97687861271676291</v>
      </c>
      <c r="M23" s="1">
        <f t="shared" si="2"/>
        <v>0.60838150289017345</v>
      </c>
      <c r="N23" s="1">
        <f t="shared" si="3"/>
        <v>0.60043352601156064</v>
      </c>
    </row>
    <row r="24" spans="1:14" x14ac:dyDescent="0.2">
      <c r="A24">
        <v>100</v>
      </c>
      <c r="B24">
        <v>159.19999999999999</v>
      </c>
      <c r="C24">
        <v>44.7</v>
      </c>
      <c r="D24">
        <v>156.69999999999999</v>
      </c>
      <c r="E24">
        <v>44.1</v>
      </c>
      <c r="F24">
        <v>94.2</v>
      </c>
      <c r="G24">
        <v>30.5</v>
      </c>
      <c r="H24">
        <v>93.8</v>
      </c>
      <c r="I24">
        <v>30</v>
      </c>
      <c r="J24" s="1">
        <f t="shared" si="0"/>
        <v>0.68027210884353739</v>
      </c>
      <c r="K24">
        <v>1</v>
      </c>
      <c r="L24" s="1">
        <f t="shared" si="1"/>
        <v>0.98429648241206025</v>
      </c>
      <c r="M24" s="1">
        <f t="shared" si="2"/>
        <v>0.59170854271356788</v>
      </c>
      <c r="N24" s="1">
        <f t="shared" si="3"/>
        <v>0.58919597989949746</v>
      </c>
    </row>
    <row r="25" spans="1:14" x14ac:dyDescent="0.2">
      <c r="A25">
        <v>120</v>
      </c>
      <c r="B25">
        <v>182.8</v>
      </c>
      <c r="C25">
        <v>58.4</v>
      </c>
      <c r="D25">
        <v>177.8</v>
      </c>
      <c r="E25">
        <v>57.4</v>
      </c>
      <c r="F25">
        <v>104.6</v>
      </c>
      <c r="G25">
        <v>37.9</v>
      </c>
      <c r="H25">
        <v>104.7</v>
      </c>
      <c r="I25">
        <v>38.1</v>
      </c>
      <c r="J25" s="1">
        <f t="shared" si="0"/>
        <v>0.66376306620209058</v>
      </c>
      <c r="K25">
        <v>1</v>
      </c>
      <c r="L25" s="1">
        <f t="shared" si="1"/>
        <v>0.97264770240700216</v>
      </c>
      <c r="M25" s="1">
        <f t="shared" si="2"/>
        <v>0.57221006564551413</v>
      </c>
      <c r="N25" s="1">
        <f t="shared" si="3"/>
        <v>0.57275711159737419</v>
      </c>
    </row>
    <row r="26" spans="1:14" x14ac:dyDescent="0.2">
      <c r="A26">
        <v>140</v>
      </c>
      <c r="B26">
        <v>205.1</v>
      </c>
      <c r="C26">
        <v>70.7</v>
      </c>
      <c r="D26">
        <v>201</v>
      </c>
      <c r="E26">
        <v>68.7</v>
      </c>
      <c r="F26">
        <v>114.2</v>
      </c>
      <c r="G26">
        <v>44.4</v>
      </c>
      <c r="H26">
        <v>114.2</v>
      </c>
      <c r="I26">
        <v>43.8</v>
      </c>
      <c r="J26" s="1">
        <f t="shared" si="0"/>
        <v>0.63755458515283836</v>
      </c>
      <c r="K26">
        <v>1</v>
      </c>
      <c r="L26" s="1">
        <f t="shared" si="1"/>
        <v>0.98000975134080937</v>
      </c>
      <c r="M26" s="1">
        <f t="shared" si="2"/>
        <v>0.55680156021452953</v>
      </c>
      <c r="N26" s="1">
        <f t="shared" si="3"/>
        <v>0.55680156021452953</v>
      </c>
    </row>
    <row r="27" spans="1:14" x14ac:dyDescent="0.2">
      <c r="A27">
        <v>160</v>
      </c>
      <c r="B27">
        <v>221.9</v>
      </c>
      <c r="C27">
        <v>86</v>
      </c>
      <c r="D27">
        <v>216.4</v>
      </c>
      <c r="E27">
        <v>84</v>
      </c>
      <c r="F27">
        <v>122.5</v>
      </c>
      <c r="G27">
        <v>51.8</v>
      </c>
      <c r="H27">
        <v>121.8</v>
      </c>
      <c r="I27">
        <v>51</v>
      </c>
      <c r="J27" s="1">
        <f t="shared" si="0"/>
        <v>0.6071428571428571</v>
      </c>
      <c r="K27">
        <v>1</v>
      </c>
      <c r="L27" s="1">
        <f t="shared" si="1"/>
        <v>0.97521406038756198</v>
      </c>
      <c r="M27" s="1">
        <f t="shared" si="2"/>
        <v>0.55205047318611988</v>
      </c>
      <c r="N27" s="1">
        <f t="shared" si="3"/>
        <v>0.54889589905362768</v>
      </c>
    </row>
    <row r="28" spans="1:14" x14ac:dyDescent="0.2">
      <c r="A28">
        <v>180</v>
      </c>
      <c r="B28">
        <v>241.3</v>
      </c>
      <c r="C28">
        <v>113.5</v>
      </c>
      <c r="D28">
        <v>236</v>
      </c>
      <c r="E28">
        <v>111.7</v>
      </c>
      <c r="F28">
        <v>130.30000000000001</v>
      </c>
      <c r="G28">
        <v>67.599999999999994</v>
      </c>
      <c r="H28">
        <v>129.19999999999999</v>
      </c>
      <c r="I28">
        <v>67</v>
      </c>
      <c r="J28" s="1">
        <f t="shared" si="0"/>
        <v>0.59982094897045657</v>
      </c>
      <c r="K28">
        <v>1</v>
      </c>
      <c r="L28" s="1">
        <f t="shared" si="1"/>
        <v>0.97803564028180678</v>
      </c>
      <c r="M28" s="1">
        <f t="shared" si="2"/>
        <v>0.53999171156237047</v>
      </c>
      <c r="N28" s="1">
        <f t="shared" si="3"/>
        <v>0.53543307086614167</v>
      </c>
    </row>
    <row r="29" spans="1:14" x14ac:dyDescent="0.2">
      <c r="A29">
        <v>200</v>
      </c>
      <c r="B29">
        <v>258.8</v>
      </c>
      <c r="C29">
        <v>129.1</v>
      </c>
      <c r="D29">
        <v>253.5</v>
      </c>
      <c r="E29">
        <v>126.1</v>
      </c>
      <c r="F29">
        <v>137.1</v>
      </c>
      <c r="G29">
        <v>74.3</v>
      </c>
      <c r="H29">
        <v>137.19999999999999</v>
      </c>
      <c r="I29">
        <v>74.099999999999994</v>
      </c>
      <c r="J29" s="1">
        <f t="shared" si="0"/>
        <v>0.58762886597938147</v>
      </c>
      <c r="K29">
        <v>1</v>
      </c>
      <c r="L29" s="1">
        <f t="shared" si="1"/>
        <v>0.97952086553323026</v>
      </c>
      <c r="M29" s="1">
        <f t="shared" si="2"/>
        <v>0.52975270479134462</v>
      </c>
      <c r="N29" s="1">
        <f t="shared" si="3"/>
        <v>0.5301391035548686</v>
      </c>
    </row>
    <row r="30" spans="1:14" x14ac:dyDescent="0.2">
      <c r="A30">
        <v>300</v>
      </c>
      <c r="B30">
        <v>334.2</v>
      </c>
      <c r="C30">
        <v>202.8</v>
      </c>
      <c r="D30">
        <v>329.6</v>
      </c>
      <c r="E30">
        <v>199.7</v>
      </c>
      <c r="F30">
        <v>168.4</v>
      </c>
      <c r="G30">
        <v>108.3</v>
      </c>
      <c r="H30">
        <v>168.6</v>
      </c>
      <c r="I30">
        <v>108.4</v>
      </c>
      <c r="J30" s="1">
        <f t="shared" si="0"/>
        <v>0.54281422133199808</v>
      </c>
      <c r="K30">
        <v>1</v>
      </c>
      <c r="L30" s="1">
        <f t="shared" ref="L30:L57" si="4">D30/B30</f>
        <v>0.98623578695391989</v>
      </c>
      <c r="M30" s="1">
        <f t="shared" ref="M30:M57" si="5">F30/B30</f>
        <v>0.50388988629563136</v>
      </c>
      <c r="N30" s="1">
        <f t="shared" ref="N30:N57" si="6">H30/B30</f>
        <v>0.50448833034111307</v>
      </c>
    </row>
    <row r="31" spans="1:14" x14ac:dyDescent="0.2">
      <c r="A31">
        <v>400</v>
      </c>
      <c r="B31">
        <v>395.2</v>
      </c>
      <c r="C31">
        <v>295.39999999999998</v>
      </c>
      <c r="D31">
        <v>388.7</v>
      </c>
      <c r="E31">
        <v>292.7</v>
      </c>
      <c r="F31">
        <v>194.3</v>
      </c>
      <c r="G31">
        <v>149.30000000000001</v>
      </c>
      <c r="H31">
        <v>193.8</v>
      </c>
      <c r="I31">
        <v>149.1</v>
      </c>
      <c r="J31" s="1">
        <f t="shared" si="0"/>
        <v>0.50939528527502564</v>
      </c>
      <c r="K31">
        <v>1</v>
      </c>
      <c r="L31" s="1">
        <f t="shared" si="4"/>
        <v>0.98355263157894735</v>
      </c>
      <c r="M31" s="1">
        <f t="shared" si="5"/>
        <v>0.49164979757085026</v>
      </c>
      <c r="N31" s="1">
        <f t="shared" si="6"/>
        <v>0.49038461538461542</v>
      </c>
    </row>
    <row r="32" spans="1:14" x14ac:dyDescent="0.2">
      <c r="A32">
        <v>500</v>
      </c>
      <c r="B32">
        <v>446.7</v>
      </c>
      <c r="C32">
        <v>421.2</v>
      </c>
      <c r="D32">
        <v>439.3</v>
      </c>
      <c r="E32">
        <v>414</v>
      </c>
      <c r="F32">
        <v>214.4</v>
      </c>
      <c r="G32">
        <v>203</v>
      </c>
      <c r="H32">
        <v>213.9</v>
      </c>
      <c r="I32">
        <v>205.7</v>
      </c>
      <c r="J32" s="1">
        <f t="shared" si="0"/>
        <v>0.49685990338164249</v>
      </c>
      <c r="K32">
        <v>1</v>
      </c>
      <c r="L32" s="1">
        <f t="shared" si="4"/>
        <v>0.98343407208417288</v>
      </c>
      <c r="M32" s="1">
        <f t="shared" si="5"/>
        <v>0.47996418177747929</v>
      </c>
      <c r="N32" s="1">
        <f t="shared" si="6"/>
        <v>0.47884486232370721</v>
      </c>
    </row>
    <row r="33" spans="1:14" x14ac:dyDescent="0.2">
      <c r="A33">
        <v>600</v>
      </c>
      <c r="B33">
        <v>492.3</v>
      </c>
      <c r="C33">
        <v>566.9</v>
      </c>
      <c r="D33">
        <v>485.7</v>
      </c>
      <c r="E33">
        <v>552</v>
      </c>
      <c r="F33">
        <v>233.2</v>
      </c>
      <c r="G33">
        <v>262.39999999999998</v>
      </c>
      <c r="H33">
        <v>232.5</v>
      </c>
      <c r="I33">
        <v>261.60000000000002</v>
      </c>
      <c r="J33" s="1">
        <f t="shared" si="0"/>
        <v>0.47391304347826091</v>
      </c>
      <c r="K33">
        <v>1</v>
      </c>
      <c r="L33" s="1">
        <f t="shared" si="4"/>
        <v>0.98659354052407067</v>
      </c>
      <c r="M33" s="1">
        <f t="shared" si="5"/>
        <v>0.47369490148283566</v>
      </c>
      <c r="N33" s="1">
        <f t="shared" si="6"/>
        <v>0.47227300426569163</v>
      </c>
    </row>
    <row r="34" spans="1:14" x14ac:dyDescent="0.2">
      <c r="A34">
        <v>700</v>
      </c>
      <c r="B34">
        <v>528.29999999999995</v>
      </c>
      <c r="C34">
        <v>616.5</v>
      </c>
      <c r="D34">
        <v>522.70000000000005</v>
      </c>
      <c r="E34">
        <v>608.9</v>
      </c>
      <c r="F34">
        <v>246.9</v>
      </c>
      <c r="G34">
        <v>279.39999999999998</v>
      </c>
      <c r="H34">
        <v>246.4</v>
      </c>
      <c r="I34">
        <v>280.2</v>
      </c>
      <c r="J34" s="1">
        <f t="shared" si="0"/>
        <v>0.46017408441451796</v>
      </c>
      <c r="K34">
        <v>1</v>
      </c>
      <c r="L34" s="1">
        <f t="shared" si="4"/>
        <v>0.98939996214272208</v>
      </c>
      <c r="M34" s="1">
        <f t="shared" si="5"/>
        <v>0.46734809767177743</v>
      </c>
      <c r="N34" s="1">
        <f t="shared" si="6"/>
        <v>0.46640166572023478</v>
      </c>
    </row>
    <row r="35" spans="1:14" x14ac:dyDescent="0.2">
      <c r="A35">
        <v>800</v>
      </c>
      <c r="B35">
        <v>564.29999999999995</v>
      </c>
      <c r="C35">
        <v>712.4</v>
      </c>
      <c r="D35">
        <v>558.9</v>
      </c>
      <c r="E35">
        <v>705.8</v>
      </c>
      <c r="F35">
        <v>261</v>
      </c>
      <c r="G35">
        <v>312.89999999999998</v>
      </c>
      <c r="H35">
        <v>262.10000000000002</v>
      </c>
      <c r="I35">
        <v>313.89999999999998</v>
      </c>
      <c r="J35" s="1">
        <f t="shared" si="0"/>
        <v>0.44474355341456501</v>
      </c>
      <c r="K35">
        <v>1</v>
      </c>
      <c r="L35" s="1">
        <f t="shared" si="4"/>
        <v>0.99043062200956944</v>
      </c>
      <c r="M35" s="1">
        <f t="shared" si="5"/>
        <v>0.46251993620414678</v>
      </c>
      <c r="N35" s="1">
        <f t="shared" si="6"/>
        <v>0.46446925394293825</v>
      </c>
    </row>
    <row r="36" spans="1:14" x14ac:dyDescent="0.2">
      <c r="A36">
        <v>900</v>
      </c>
      <c r="B36">
        <v>595.1</v>
      </c>
      <c r="C36">
        <v>842.5</v>
      </c>
      <c r="D36">
        <v>583.70000000000005</v>
      </c>
      <c r="E36">
        <v>833.4</v>
      </c>
      <c r="F36">
        <v>272.5</v>
      </c>
      <c r="G36">
        <v>360.3</v>
      </c>
      <c r="H36">
        <v>273.10000000000002</v>
      </c>
      <c r="I36">
        <v>361.5</v>
      </c>
      <c r="J36" s="1">
        <f t="shared" si="0"/>
        <v>0.43376529877609793</v>
      </c>
      <c r="K36">
        <v>1</v>
      </c>
      <c r="L36" s="1">
        <f t="shared" si="4"/>
        <v>0.98084355570492354</v>
      </c>
      <c r="M36" s="1">
        <f t="shared" si="5"/>
        <v>0.45790623424634513</v>
      </c>
      <c r="N36" s="1">
        <f t="shared" si="6"/>
        <v>0.45891446815661235</v>
      </c>
    </row>
    <row r="37" spans="1:14" x14ac:dyDescent="0.2">
      <c r="A37">
        <v>1000</v>
      </c>
      <c r="B37">
        <v>625.5</v>
      </c>
      <c r="C37">
        <v>960.5</v>
      </c>
      <c r="D37">
        <v>617.6</v>
      </c>
      <c r="E37">
        <v>949.2</v>
      </c>
      <c r="F37">
        <v>285.7</v>
      </c>
      <c r="G37">
        <v>404.8</v>
      </c>
      <c r="H37">
        <v>284.89999999999998</v>
      </c>
      <c r="I37">
        <v>404.1</v>
      </c>
      <c r="J37" s="1">
        <f t="shared" si="0"/>
        <v>0.42572692793931732</v>
      </c>
      <c r="K37">
        <v>1</v>
      </c>
      <c r="L37" s="1">
        <f t="shared" si="4"/>
        <v>0.98737010391686653</v>
      </c>
      <c r="M37" s="1">
        <f t="shared" si="5"/>
        <v>0.45675459632294163</v>
      </c>
      <c r="N37" s="1">
        <f t="shared" si="6"/>
        <v>0.45547561950439647</v>
      </c>
    </row>
    <row r="38" spans="1:14" x14ac:dyDescent="0.2">
      <c r="A38">
        <v>1100</v>
      </c>
      <c r="B38">
        <v>646.79999999999995</v>
      </c>
      <c r="C38">
        <v>1090.8</v>
      </c>
      <c r="D38">
        <v>638.20000000000005</v>
      </c>
      <c r="E38">
        <v>1071.2</v>
      </c>
      <c r="F38">
        <v>293.60000000000002</v>
      </c>
      <c r="G38">
        <v>449</v>
      </c>
      <c r="H38">
        <v>293.60000000000002</v>
      </c>
      <c r="I38">
        <v>448.2</v>
      </c>
      <c r="J38" s="1">
        <f t="shared" si="0"/>
        <v>0.4184092606422703</v>
      </c>
      <c r="K38">
        <v>1</v>
      </c>
      <c r="L38" s="1">
        <f t="shared" si="4"/>
        <v>0.98670377241805829</v>
      </c>
      <c r="M38" s="1">
        <f t="shared" si="5"/>
        <v>0.45392702535559687</v>
      </c>
      <c r="N38" s="1">
        <f t="shared" si="6"/>
        <v>0.45392702535559687</v>
      </c>
    </row>
    <row r="39" spans="1:14" x14ac:dyDescent="0.2">
      <c r="A39">
        <v>1200</v>
      </c>
      <c r="B39">
        <v>673.4</v>
      </c>
      <c r="C39">
        <v>1147.8</v>
      </c>
      <c r="D39">
        <v>663.8</v>
      </c>
      <c r="E39">
        <v>1120.5999999999999</v>
      </c>
      <c r="F39">
        <v>302.10000000000002</v>
      </c>
      <c r="G39">
        <v>461.5</v>
      </c>
      <c r="H39">
        <v>301.10000000000002</v>
      </c>
      <c r="I39">
        <v>458.3</v>
      </c>
      <c r="J39" s="1">
        <f t="shared" si="0"/>
        <v>0.40897733357130112</v>
      </c>
      <c r="K39">
        <v>1</v>
      </c>
      <c r="L39" s="1">
        <f t="shared" si="4"/>
        <v>0.9857439857439857</v>
      </c>
      <c r="M39" s="1">
        <f t="shared" si="5"/>
        <v>0.44861894861894869</v>
      </c>
      <c r="N39" s="1">
        <f t="shared" si="6"/>
        <v>0.44713394713394716</v>
      </c>
    </row>
    <row r="40" spans="1:14" x14ac:dyDescent="0.2">
      <c r="A40">
        <v>1300</v>
      </c>
      <c r="B40">
        <v>695.5</v>
      </c>
      <c r="C40">
        <v>1206</v>
      </c>
      <c r="D40">
        <v>685.2</v>
      </c>
      <c r="E40">
        <v>1194.9000000000001</v>
      </c>
      <c r="F40">
        <v>310.5</v>
      </c>
      <c r="G40">
        <v>482.9</v>
      </c>
      <c r="H40">
        <v>309.10000000000002</v>
      </c>
      <c r="I40">
        <v>478.9</v>
      </c>
      <c r="J40" s="1">
        <f t="shared" si="0"/>
        <v>0.40078667670934803</v>
      </c>
      <c r="K40">
        <v>1</v>
      </c>
      <c r="L40" s="1">
        <f t="shared" si="4"/>
        <v>0.9851905104241554</v>
      </c>
      <c r="M40" s="1">
        <f t="shared" si="5"/>
        <v>0.44644140905823149</v>
      </c>
      <c r="N40" s="1">
        <f t="shared" si="6"/>
        <v>0.44442846872753416</v>
      </c>
    </row>
    <row r="41" spans="1:14" x14ac:dyDescent="0.2">
      <c r="A41">
        <v>1400</v>
      </c>
      <c r="B41">
        <v>714.8</v>
      </c>
      <c r="C41">
        <v>1345</v>
      </c>
      <c r="D41">
        <v>701.3</v>
      </c>
      <c r="E41">
        <v>1324.7</v>
      </c>
      <c r="F41">
        <v>317.2</v>
      </c>
      <c r="G41">
        <v>527.79999999999995</v>
      </c>
      <c r="H41">
        <v>316.89999999999998</v>
      </c>
      <c r="I41">
        <v>524.6</v>
      </c>
      <c r="J41" s="1">
        <f t="shared" si="0"/>
        <v>0.39601419189250398</v>
      </c>
      <c r="K41">
        <v>1</v>
      </c>
      <c r="L41" s="1">
        <f t="shared" si="4"/>
        <v>0.98111359820928934</v>
      </c>
      <c r="M41" s="1">
        <f t="shared" si="5"/>
        <v>0.4437604924454393</v>
      </c>
      <c r="N41" s="1">
        <f t="shared" si="6"/>
        <v>0.44334079462786791</v>
      </c>
    </row>
    <row r="42" spans="1:14" x14ac:dyDescent="0.2">
      <c r="A42">
        <v>1500</v>
      </c>
      <c r="B42">
        <v>732</v>
      </c>
      <c r="C42">
        <v>1362.1</v>
      </c>
      <c r="D42">
        <v>723</v>
      </c>
      <c r="E42">
        <v>1350.8</v>
      </c>
      <c r="F42">
        <v>323.89999999999998</v>
      </c>
      <c r="G42">
        <v>526.1</v>
      </c>
      <c r="H42">
        <v>324.2</v>
      </c>
      <c r="I42">
        <v>528.1</v>
      </c>
      <c r="J42" s="1">
        <f t="shared" si="0"/>
        <v>0.39095350903168496</v>
      </c>
      <c r="K42">
        <v>1</v>
      </c>
      <c r="L42" s="1">
        <f t="shared" si="4"/>
        <v>0.98770491803278693</v>
      </c>
      <c r="M42" s="1">
        <f t="shared" si="5"/>
        <v>0.44248633879781418</v>
      </c>
      <c r="N42" s="1">
        <f t="shared" si="6"/>
        <v>0.44289617486338795</v>
      </c>
    </row>
    <row r="43" spans="1:14" x14ac:dyDescent="0.2">
      <c r="A43">
        <v>1600</v>
      </c>
      <c r="B43">
        <v>746.2</v>
      </c>
      <c r="C43">
        <v>1505.2</v>
      </c>
      <c r="D43">
        <v>741.2</v>
      </c>
      <c r="E43">
        <v>1489.8</v>
      </c>
      <c r="F43">
        <v>330.6</v>
      </c>
      <c r="G43">
        <v>575.70000000000005</v>
      </c>
      <c r="H43">
        <v>329.4</v>
      </c>
      <c r="I43">
        <v>571.29999999999995</v>
      </c>
      <c r="J43" s="1">
        <f t="shared" si="0"/>
        <v>0.3834742918512552</v>
      </c>
      <c r="K43">
        <v>1</v>
      </c>
      <c r="L43" s="1">
        <f t="shared" si="4"/>
        <v>0.99329938354328595</v>
      </c>
      <c r="M43" s="1">
        <f t="shared" si="5"/>
        <v>0.44304476011793087</v>
      </c>
      <c r="N43" s="1">
        <f t="shared" si="6"/>
        <v>0.44143661216831942</v>
      </c>
    </row>
    <row r="44" spans="1:14" x14ac:dyDescent="0.2">
      <c r="A44">
        <v>1700</v>
      </c>
      <c r="B44">
        <v>763.4</v>
      </c>
      <c r="C44">
        <v>1588.8</v>
      </c>
      <c r="D44">
        <v>758.7</v>
      </c>
      <c r="E44">
        <v>1575.3</v>
      </c>
      <c r="F44">
        <v>335</v>
      </c>
      <c r="G44">
        <v>599.9</v>
      </c>
      <c r="H44">
        <v>336.1</v>
      </c>
      <c r="I44">
        <v>601.6</v>
      </c>
      <c r="J44" s="1">
        <f t="shared" si="0"/>
        <v>0.38189551196597477</v>
      </c>
      <c r="K44">
        <v>1</v>
      </c>
      <c r="L44" s="1">
        <f t="shared" si="4"/>
        <v>0.9938433324600473</v>
      </c>
      <c r="M44" s="1">
        <f t="shared" si="5"/>
        <v>0.43882630337961753</v>
      </c>
      <c r="N44" s="1">
        <f t="shared" si="6"/>
        <v>0.44026722556981929</v>
      </c>
    </row>
    <row r="45" spans="1:14" x14ac:dyDescent="0.2">
      <c r="A45">
        <v>1800</v>
      </c>
      <c r="B45">
        <v>779.7</v>
      </c>
      <c r="C45">
        <v>1702.3</v>
      </c>
      <c r="D45">
        <v>769.2</v>
      </c>
      <c r="E45">
        <v>1683.2</v>
      </c>
      <c r="F45">
        <v>340.2</v>
      </c>
      <c r="G45">
        <v>632</v>
      </c>
      <c r="H45">
        <v>340.8</v>
      </c>
      <c r="I45">
        <v>632.1</v>
      </c>
      <c r="J45" s="1">
        <f t="shared" si="0"/>
        <v>0.37553469581749049</v>
      </c>
      <c r="K45">
        <v>1</v>
      </c>
      <c r="L45" s="1">
        <f t="shared" si="4"/>
        <v>0.98653328203155055</v>
      </c>
      <c r="M45" s="1">
        <f t="shared" si="5"/>
        <v>0.43632166217776064</v>
      </c>
      <c r="N45" s="1">
        <f t="shared" si="6"/>
        <v>0.43709118891881493</v>
      </c>
    </row>
    <row r="46" spans="1:14" x14ac:dyDescent="0.2">
      <c r="A46">
        <v>1900</v>
      </c>
      <c r="B46">
        <v>791.3</v>
      </c>
      <c r="C46">
        <v>1915.2</v>
      </c>
      <c r="D46">
        <v>785.5</v>
      </c>
      <c r="E46">
        <v>1904.8</v>
      </c>
      <c r="F46">
        <v>345.5</v>
      </c>
      <c r="G46">
        <v>706.6</v>
      </c>
      <c r="H46">
        <v>345.6</v>
      </c>
      <c r="I46">
        <v>706.3</v>
      </c>
      <c r="J46" s="1">
        <f t="shared" si="0"/>
        <v>0.37080008399832004</v>
      </c>
      <c r="K46">
        <v>1</v>
      </c>
      <c r="L46" s="1">
        <f t="shared" si="4"/>
        <v>0.99267028939719459</v>
      </c>
      <c r="M46" s="1">
        <f t="shared" si="5"/>
        <v>0.43662327814987995</v>
      </c>
      <c r="N46" s="1">
        <f t="shared" si="6"/>
        <v>0.43674965247061803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  <row r="50" spans="12:14" x14ac:dyDescent="0.2">
      <c r="L50" s="1"/>
      <c r="M50" s="1"/>
      <c r="N50" s="1"/>
    </row>
    <row r="51" spans="12:14" x14ac:dyDescent="0.2">
      <c r="L51" s="1"/>
      <c r="M51" s="1"/>
      <c r="N51" s="1"/>
    </row>
    <row r="52" spans="12:14" x14ac:dyDescent="0.2">
      <c r="L52" s="1"/>
      <c r="M52" s="1"/>
      <c r="N52" s="1"/>
    </row>
    <row r="53" spans="12:14" x14ac:dyDescent="0.2">
      <c r="L53" s="1"/>
      <c r="M53" s="1"/>
      <c r="N53" s="1"/>
    </row>
    <row r="54" spans="12:14" x14ac:dyDescent="0.2">
      <c r="L54" s="1"/>
      <c r="M54" s="1"/>
      <c r="N54" s="1"/>
    </row>
    <row r="55" spans="12:14" x14ac:dyDescent="0.2">
      <c r="L55" s="1"/>
      <c r="M55" s="1"/>
      <c r="N55" s="1"/>
    </row>
    <row r="56" spans="12:14" x14ac:dyDescent="0.2">
      <c r="L56" s="1"/>
      <c r="M56" s="1"/>
      <c r="N56" s="1"/>
    </row>
    <row r="57" spans="12:14" x14ac:dyDescent="0.2">
      <c r="L57" s="1"/>
      <c r="M57" s="1"/>
      <c r="N57" s="1"/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A1B75-C0B0-DE40-AF82-6C04AA863508}">
  <dimension ref="A1:N57"/>
  <sheetViews>
    <sheetView topLeftCell="A15" workbookViewId="0">
      <selection activeCell="J1" sqref="J1:J46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67</v>
      </c>
      <c r="K1" t="s">
        <v>60</v>
      </c>
      <c r="L1" t="s">
        <v>61</v>
      </c>
      <c r="M1" t="s">
        <v>5</v>
      </c>
      <c r="N1" t="s">
        <v>57</v>
      </c>
    </row>
    <row r="2" spans="1:14" x14ac:dyDescent="0.2">
      <c r="A2">
        <v>2</v>
      </c>
      <c r="B2">
        <v>8.9</v>
      </c>
      <c r="C2">
        <v>1</v>
      </c>
      <c r="D2">
        <v>6.9</v>
      </c>
      <c r="E2">
        <v>1.2</v>
      </c>
      <c r="F2">
        <v>8.9</v>
      </c>
      <c r="G2">
        <v>2.9</v>
      </c>
      <c r="H2">
        <v>6.2</v>
      </c>
      <c r="I2">
        <v>2.7</v>
      </c>
      <c r="J2" s="1">
        <f t="shared" ref="J2:J46" si="0">I2/E2</f>
        <v>2.2500000000000004</v>
      </c>
      <c r="K2">
        <v>1</v>
      </c>
      <c r="L2" s="1">
        <f t="shared" ref="L2:L46" si="1">D2/B2</f>
        <v>0.7752808988764045</v>
      </c>
      <c r="M2" s="1">
        <f t="shared" ref="M2:M46" si="2">F2/B2</f>
        <v>1</v>
      </c>
      <c r="N2" s="1">
        <f t="shared" ref="N2:N46" si="3">H2/B2</f>
        <v>0.6966292134831461</v>
      </c>
    </row>
    <row r="3" spans="1:14" x14ac:dyDescent="0.2">
      <c r="A3">
        <v>4</v>
      </c>
      <c r="B3">
        <v>15.1</v>
      </c>
      <c r="C3">
        <v>1.5</v>
      </c>
      <c r="D3">
        <v>13.7</v>
      </c>
      <c r="E3">
        <v>1.4</v>
      </c>
      <c r="F3">
        <v>13.3</v>
      </c>
      <c r="G3">
        <v>3.2</v>
      </c>
      <c r="H3">
        <v>11.6</v>
      </c>
      <c r="I3">
        <v>3.1</v>
      </c>
      <c r="J3" s="1">
        <f t="shared" si="0"/>
        <v>2.2142857142857144</v>
      </c>
      <c r="K3">
        <v>1</v>
      </c>
      <c r="L3" s="1">
        <f t="shared" si="1"/>
        <v>0.9072847682119205</v>
      </c>
      <c r="M3" s="1">
        <f t="shared" si="2"/>
        <v>0.88079470198675502</v>
      </c>
      <c r="N3" s="1">
        <f t="shared" si="3"/>
        <v>0.76821192052980136</v>
      </c>
    </row>
    <row r="4" spans="1:14" x14ac:dyDescent="0.2">
      <c r="A4">
        <v>6</v>
      </c>
      <c r="B4">
        <v>21.3</v>
      </c>
      <c r="C4">
        <v>2.1</v>
      </c>
      <c r="D4">
        <v>19.399999999999999</v>
      </c>
      <c r="E4">
        <v>1.9</v>
      </c>
      <c r="F4">
        <v>17.8</v>
      </c>
      <c r="G4">
        <v>3.7</v>
      </c>
      <c r="H4">
        <v>16.2</v>
      </c>
      <c r="I4">
        <v>3.6</v>
      </c>
      <c r="J4" s="1">
        <f t="shared" si="0"/>
        <v>1.8947368421052633</v>
      </c>
      <c r="K4">
        <v>1</v>
      </c>
      <c r="L4" s="1">
        <f t="shared" si="1"/>
        <v>0.91079812206572763</v>
      </c>
      <c r="M4" s="1">
        <f t="shared" si="2"/>
        <v>0.83568075117370888</v>
      </c>
      <c r="N4" s="1">
        <f t="shared" si="3"/>
        <v>0.76056338028169013</v>
      </c>
    </row>
    <row r="5" spans="1:14" x14ac:dyDescent="0.2">
      <c r="A5">
        <v>8</v>
      </c>
      <c r="B5">
        <v>26</v>
      </c>
      <c r="C5">
        <v>2.5</v>
      </c>
      <c r="D5">
        <v>24.1</v>
      </c>
      <c r="E5">
        <v>2.4</v>
      </c>
      <c r="F5">
        <v>21.5</v>
      </c>
      <c r="G5">
        <v>4</v>
      </c>
      <c r="H5">
        <v>20</v>
      </c>
      <c r="I5">
        <v>4</v>
      </c>
      <c r="J5" s="1">
        <f t="shared" si="0"/>
        <v>1.6666666666666667</v>
      </c>
      <c r="K5">
        <v>1</v>
      </c>
      <c r="L5" s="1">
        <f t="shared" si="1"/>
        <v>0.92692307692307696</v>
      </c>
      <c r="M5" s="1">
        <f t="shared" si="2"/>
        <v>0.82692307692307687</v>
      </c>
      <c r="N5" s="1">
        <f t="shared" si="3"/>
        <v>0.76923076923076927</v>
      </c>
    </row>
    <row r="6" spans="1:14" x14ac:dyDescent="0.2">
      <c r="A6">
        <v>10</v>
      </c>
      <c r="B6">
        <v>30.2</v>
      </c>
      <c r="C6">
        <v>3.3</v>
      </c>
      <c r="D6">
        <v>28.9</v>
      </c>
      <c r="E6">
        <v>3.1</v>
      </c>
      <c r="F6">
        <v>24.5</v>
      </c>
      <c r="G6">
        <v>4.5999999999999996</v>
      </c>
      <c r="H6">
        <v>23</v>
      </c>
      <c r="I6">
        <v>4.5</v>
      </c>
      <c r="J6" s="1">
        <f t="shared" si="0"/>
        <v>1.4516129032258065</v>
      </c>
      <c r="K6">
        <v>1</v>
      </c>
      <c r="L6" s="1">
        <f t="shared" si="1"/>
        <v>0.95695364238410596</v>
      </c>
      <c r="M6" s="1">
        <f t="shared" si="2"/>
        <v>0.8112582781456954</v>
      </c>
      <c r="N6" s="1">
        <f t="shared" si="3"/>
        <v>0.76158940397350994</v>
      </c>
    </row>
    <row r="7" spans="1:14" x14ac:dyDescent="0.2">
      <c r="A7">
        <v>12</v>
      </c>
      <c r="B7">
        <v>33.299999999999997</v>
      </c>
      <c r="C7">
        <v>3.6</v>
      </c>
      <c r="D7">
        <v>32.4</v>
      </c>
      <c r="E7">
        <v>3.5</v>
      </c>
      <c r="F7">
        <v>26.4</v>
      </c>
      <c r="G7">
        <v>5</v>
      </c>
      <c r="H7">
        <v>25.7</v>
      </c>
      <c r="I7">
        <v>4.7</v>
      </c>
      <c r="J7" s="1">
        <f t="shared" si="0"/>
        <v>1.342857142857143</v>
      </c>
      <c r="K7">
        <v>1</v>
      </c>
      <c r="L7" s="1">
        <f t="shared" si="1"/>
        <v>0.97297297297297303</v>
      </c>
      <c r="M7" s="1">
        <f t="shared" si="2"/>
        <v>0.7927927927927928</v>
      </c>
      <c r="N7" s="1">
        <f t="shared" si="3"/>
        <v>0.77177177177177181</v>
      </c>
    </row>
    <row r="8" spans="1:14" x14ac:dyDescent="0.2">
      <c r="A8">
        <v>14</v>
      </c>
      <c r="B8">
        <v>36.5</v>
      </c>
      <c r="C8">
        <v>4.2</v>
      </c>
      <c r="D8">
        <v>35.799999999999997</v>
      </c>
      <c r="E8">
        <v>4</v>
      </c>
      <c r="F8">
        <v>28.7</v>
      </c>
      <c r="G8">
        <v>5.3</v>
      </c>
      <c r="H8">
        <v>28.1</v>
      </c>
      <c r="I8">
        <v>5.0999999999999996</v>
      </c>
      <c r="J8" s="1">
        <f t="shared" si="0"/>
        <v>1.2749999999999999</v>
      </c>
      <c r="K8">
        <v>1</v>
      </c>
      <c r="L8" s="1">
        <f t="shared" si="1"/>
        <v>0.98082191780821915</v>
      </c>
      <c r="M8" s="1">
        <f t="shared" si="2"/>
        <v>0.78630136986301369</v>
      </c>
      <c r="N8" s="1">
        <f t="shared" si="3"/>
        <v>0.76986301369863019</v>
      </c>
    </row>
    <row r="9" spans="1:14" x14ac:dyDescent="0.2">
      <c r="A9">
        <v>16</v>
      </c>
      <c r="B9">
        <v>40.5</v>
      </c>
      <c r="C9">
        <v>4.9000000000000004</v>
      </c>
      <c r="D9">
        <v>39.700000000000003</v>
      </c>
      <c r="E9">
        <v>4.5</v>
      </c>
      <c r="F9">
        <v>31.3</v>
      </c>
      <c r="G9">
        <v>5.6</v>
      </c>
      <c r="H9">
        <v>30.4</v>
      </c>
      <c r="I9">
        <v>5.4</v>
      </c>
      <c r="J9" s="1">
        <f t="shared" si="0"/>
        <v>1.2000000000000002</v>
      </c>
      <c r="K9">
        <v>1</v>
      </c>
      <c r="L9" s="1">
        <f t="shared" si="1"/>
        <v>0.98024691358024696</v>
      </c>
      <c r="M9" s="1">
        <f t="shared" si="2"/>
        <v>0.77283950617283947</v>
      </c>
      <c r="N9" s="1">
        <f t="shared" si="3"/>
        <v>0.75061728395061722</v>
      </c>
    </row>
    <row r="10" spans="1:14" x14ac:dyDescent="0.2">
      <c r="A10">
        <v>18</v>
      </c>
      <c r="B10">
        <v>43.4</v>
      </c>
      <c r="C10">
        <v>5.2</v>
      </c>
      <c r="D10">
        <v>42</v>
      </c>
      <c r="E10">
        <v>5.2</v>
      </c>
      <c r="F10">
        <v>32.5</v>
      </c>
      <c r="G10">
        <v>5.9</v>
      </c>
      <c r="H10">
        <v>32</v>
      </c>
      <c r="I10">
        <v>5.7</v>
      </c>
      <c r="J10" s="1">
        <f t="shared" si="0"/>
        <v>1.0961538461538463</v>
      </c>
      <c r="K10">
        <v>1</v>
      </c>
      <c r="L10" s="1">
        <f t="shared" si="1"/>
        <v>0.967741935483871</v>
      </c>
      <c r="M10" s="1">
        <f t="shared" si="2"/>
        <v>0.74884792626728114</v>
      </c>
      <c r="N10" s="1">
        <f t="shared" si="3"/>
        <v>0.73732718894009219</v>
      </c>
    </row>
    <row r="11" spans="1:14" x14ac:dyDescent="0.2">
      <c r="A11">
        <v>20</v>
      </c>
      <c r="B11">
        <v>45.4</v>
      </c>
      <c r="C11">
        <v>5.6</v>
      </c>
      <c r="D11">
        <v>45.5</v>
      </c>
      <c r="E11">
        <v>5.5</v>
      </c>
      <c r="F11">
        <v>34.700000000000003</v>
      </c>
      <c r="G11">
        <v>6.3</v>
      </c>
      <c r="H11">
        <v>33.700000000000003</v>
      </c>
      <c r="I11">
        <v>6</v>
      </c>
      <c r="J11" s="1">
        <f t="shared" si="0"/>
        <v>1.0909090909090908</v>
      </c>
      <c r="K11">
        <v>1</v>
      </c>
      <c r="L11" s="1">
        <f t="shared" si="1"/>
        <v>1.0022026431718063</v>
      </c>
      <c r="M11" s="1">
        <f t="shared" si="2"/>
        <v>0.76431718061674014</v>
      </c>
      <c r="N11" s="1">
        <f t="shared" si="3"/>
        <v>0.74229074889867852</v>
      </c>
    </row>
    <row r="12" spans="1:14" x14ac:dyDescent="0.2">
      <c r="A12">
        <v>22</v>
      </c>
      <c r="B12">
        <v>49.5</v>
      </c>
      <c r="C12">
        <v>7.1</v>
      </c>
      <c r="D12">
        <v>48.6</v>
      </c>
      <c r="E12">
        <v>6.7</v>
      </c>
      <c r="F12">
        <v>36.200000000000003</v>
      </c>
      <c r="G12">
        <v>7.3</v>
      </c>
      <c r="H12">
        <v>35.6</v>
      </c>
      <c r="I12">
        <v>7.1</v>
      </c>
      <c r="J12" s="1">
        <f t="shared" si="0"/>
        <v>1.0597014925373134</v>
      </c>
      <c r="K12">
        <v>1</v>
      </c>
      <c r="L12" s="1">
        <f t="shared" si="1"/>
        <v>0.98181818181818181</v>
      </c>
      <c r="M12" s="1">
        <f t="shared" si="2"/>
        <v>0.73131313131313136</v>
      </c>
      <c r="N12" s="1">
        <f t="shared" si="3"/>
        <v>0.71919191919191927</v>
      </c>
    </row>
    <row r="13" spans="1:14" x14ac:dyDescent="0.2">
      <c r="A13">
        <v>24</v>
      </c>
      <c r="B13">
        <v>51.8</v>
      </c>
      <c r="C13">
        <v>7.1</v>
      </c>
      <c r="D13">
        <v>51</v>
      </c>
      <c r="E13">
        <v>6.7</v>
      </c>
      <c r="F13">
        <v>37.5</v>
      </c>
      <c r="G13">
        <v>7.1</v>
      </c>
      <c r="H13">
        <v>37.299999999999997</v>
      </c>
      <c r="I13">
        <v>7</v>
      </c>
      <c r="J13" s="1">
        <f t="shared" si="0"/>
        <v>1.044776119402985</v>
      </c>
      <c r="K13">
        <v>1</v>
      </c>
      <c r="L13" s="1">
        <f t="shared" si="1"/>
        <v>0.98455598455598459</v>
      </c>
      <c r="M13" s="1">
        <f t="shared" si="2"/>
        <v>0.72393822393822393</v>
      </c>
      <c r="N13" s="1">
        <f t="shared" si="3"/>
        <v>0.72007722007722008</v>
      </c>
    </row>
    <row r="14" spans="1:14" x14ac:dyDescent="0.2">
      <c r="A14">
        <v>26</v>
      </c>
      <c r="B14">
        <v>55.2</v>
      </c>
      <c r="C14">
        <v>8.4</v>
      </c>
      <c r="D14">
        <v>53.5</v>
      </c>
      <c r="E14">
        <v>7.8</v>
      </c>
      <c r="F14">
        <v>39.6</v>
      </c>
      <c r="G14">
        <v>8.1999999999999993</v>
      </c>
      <c r="H14">
        <v>38.4</v>
      </c>
      <c r="I14">
        <v>8</v>
      </c>
      <c r="J14" s="1">
        <f t="shared" si="0"/>
        <v>1.0256410256410258</v>
      </c>
      <c r="K14">
        <v>1</v>
      </c>
      <c r="L14" s="1">
        <f t="shared" si="1"/>
        <v>0.96920289855072461</v>
      </c>
      <c r="M14" s="1">
        <f t="shared" si="2"/>
        <v>0.71739130434782605</v>
      </c>
      <c r="N14" s="1">
        <f t="shared" si="3"/>
        <v>0.69565217391304346</v>
      </c>
    </row>
    <row r="15" spans="1:14" x14ac:dyDescent="0.2">
      <c r="A15">
        <v>28</v>
      </c>
      <c r="B15">
        <v>58</v>
      </c>
      <c r="C15">
        <v>8.8000000000000007</v>
      </c>
      <c r="D15">
        <v>56.6</v>
      </c>
      <c r="E15">
        <v>8.1999999999999993</v>
      </c>
      <c r="F15">
        <v>41.4</v>
      </c>
      <c r="G15">
        <v>8.6</v>
      </c>
      <c r="H15">
        <v>41.1</v>
      </c>
      <c r="I15">
        <v>8.1</v>
      </c>
      <c r="J15" s="1">
        <f t="shared" si="0"/>
        <v>0.98780487804878048</v>
      </c>
      <c r="K15">
        <v>1</v>
      </c>
      <c r="L15" s="1">
        <f t="shared" si="1"/>
        <v>0.9758620689655173</v>
      </c>
      <c r="M15" s="1">
        <f t="shared" si="2"/>
        <v>0.71379310344827585</v>
      </c>
      <c r="N15" s="1">
        <f t="shared" si="3"/>
        <v>0.70862068965517244</v>
      </c>
    </row>
    <row r="16" spans="1:14" x14ac:dyDescent="0.2">
      <c r="A16">
        <v>30</v>
      </c>
      <c r="B16">
        <v>61.1</v>
      </c>
      <c r="C16">
        <v>9.3000000000000007</v>
      </c>
      <c r="D16">
        <v>59.6</v>
      </c>
      <c r="E16">
        <v>8.9</v>
      </c>
      <c r="F16">
        <v>43.1</v>
      </c>
      <c r="G16">
        <v>9</v>
      </c>
      <c r="H16">
        <v>42.5</v>
      </c>
      <c r="I16">
        <v>8.6</v>
      </c>
      <c r="J16" s="1">
        <f t="shared" si="0"/>
        <v>0.96629213483146059</v>
      </c>
      <c r="K16">
        <v>1</v>
      </c>
      <c r="L16" s="1">
        <f t="shared" si="1"/>
        <v>0.97545008183306059</v>
      </c>
      <c r="M16" s="1">
        <f t="shared" si="2"/>
        <v>0.70540098199672674</v>
      </c>
      <c r="N16" s="1">
        <f t="shared" si="3"/>
        <v>0.69558101472995093</v>
      </c>
    </row>
    <row r="17" spans="1:14" x14ac:dyDescent="0.2">
      <c r="A17">
        <v>32</v>
      </c>
      <c r="B17">
        <v>63.5</v>
      </c>
      <c r="C17">
        <v>10.1</v>
      </c>
      <c r="D17">
        <v>62.2</v>
      </c>
      <c r="E17">
        <v>9.6</v>
      </c>
      <c r="F17">
        <v>44.4</v>
      </c>
      <c r="G17">
        <v>9.5</v>
      </c>
      <c r="H17">
        <v>43.3</v>
      </c>
      <c r="I17">
        <v>9</v>
      </c>
      <c r="J17" s="1">
        <f t="shared" si="0"/>
        <v>0.9375</v>
      </c>
      <c r="K17">
        <v>1</v>
      </c>
      <c r="L17" s="1">
        <f t="shared" si="1"/>
        <v>0.97952755905511812</v>
      </c>
      <c r="M17" s="1">
        <f t="shared" si="2"/>
        <v>0.69921259842519679</v>
      </c>
      <c r="N17" s="1">
        <f t="shared" si="3"/>
        <v>0.68188976377952748</v>
      </c>
    </row>
    <row r="18" spans="1:14" x14ac:dyDescent="0.2">
      <c r="A18">
        <v>34</v>
      </c>
      <c r="B18">
        <v>66.900000000000006</v>
      </c>
      <c r="C18">
        <v>11.2</v>
      </c>
      <c r="D18">
        <v>67</v>
      </c>
      <c r="E18">
        <v>11</v>
      </c>
      <c r="F18">
        <v>45.5</v>
      </c>
      <c r="G18">
        <v>10.3</v>
      </c>
      <c r="H18">
        <v>45.8</v>
      </c>
      <c r="I18">
        <v>10.199999999999999</v>
      </c>
      <c r="J18" s="1">
        <f t="shared" si="0"/>
        <v>0.92727272727272725</v>
      </c>
      <c r="K18">
        <v>1</v>
      </c>
      <c r="L18" s="1">
        <f t="shared" si="1"/>
        <v>1.0014947683109117</v>
      </c>
      <c r="M18" s="1">
        <f t="shared" si="2"/>
        <v>0.68011958146487284</v>
      </c>
      <c r="N18" s="1">
        <f t="shared" si="3"/>
        <v>0.68460388639760827</v>
      </c>
    </row>
    <row r="19" spans="1:14" x14ac:dyDescent="0.2">
      <c r="A19">
        <v>36</v>
      </c>
      <c r="B19">
        <v>68.099999999999994</v>
      </c>
      <c r="C19">
        <v>11.9</v>
      </c>
      <c r="D19">
        <v>67.400000000000006</v>
      </c>
      <c r="E19">
        <v>11.5</v>
      </c>
      <c r="F19">
        <v>46.4</v>
      </c>
      <c r="G19">
        <v>10.7</v>
      </c>
      <c r="H19">
        <v>46.4</v>
      </c>
      <c r="I19">
        <v>10.4</v>
      </c>
      <c r="J19" s="1">
        <f t="shared" si="0"/>
        <v>0.90434782608695652</v>
      </c>
      <c r="K19">
        <v>1</v>
      </c>
      <c r="L19" s="1">
        <f t="shared" si="1"/>
        <v>0.98972099853157136</v>
      </c>
      <c r="M19" s="1">
        <f t="shared" si="2"/>
        <v>0.68135095447870786</v>
      </c>
      <c r="N19" s="1">
        <f t="shared" si="3"/>
        <v>0.68135095447870786</v>
      </c>
    </row>
    <row r="20" spans="1:14" x14ac:dyDescent="0.2">
      <c r="A20">
        <v>38</v>
      </c>
      <c r="B20">
        <v>70.8</v>
      </c>
      <c r="C20">
        <v>13.4</v>
      </c>
      <c r="D20">
        <v>70.7</v>
      </c>
      <c r="E20">
        <v>13.4</v>
      </c>
      <c r="F20">
        <v>47.9</v>
      </c>
      <c r="G20">
        <v>12</v>
      </c>
      <c r="H20">
        <v>47.5</v>
      </c>
      <c r="I20">
        <v>11.5</v>
      </c>
      <c r="J20" s="1">
        <f t="shared" si="0"/>
        <v>0.85820895522388052</v>
      </c>
      <c r="K20">
        <v>1</v>
      </c>
      <c r="L20" s="1">
        <f t="shared" si="1"/>
        <v>0.99858757062146897</v>
      </c>
      <c r="M20" s="1">
        <f t="shared" si="2"/>
        <v>0.67655367231638419</v>
      </c>
      <c r="N20" s="1">
        <f t="shared" si="3"/>
        <v>0.67090395480225995</v>
      </c>
    </row>
    <row r="21" spans="1:14" x14ac:dyDescent="0.2">
      <c r="A21">
        <v>40</v>
      </c>
      <c r="B21">
        <v>72.900000000000006</v>
      </c>
      <c r="C21">
        <v>13.8</v>
      </c>
      <c r="D21">
        <v>72.900000000000006</v>
      </c>
      <c r="E21">
        <v>13.6</v>
      </c>
      <c r="F21">
        <v>50.2</v>
      </c>
      <c r="G21">
        <v>12.4</v>
      </c>
      <c r="H21">
        <v>48.8</v>
      </c>
      <c r="I21">
        <v>11.7</v>
      </c>
      <c r="J21" s="1">
        <f t="shared" si="0"/>
        <v>0.86029411764705876</v>
      </c>
      <c r="K21">
        <v>1</v>
      </c>
      <c r="L21" s="1">
        <f t="shared" si="1"/>
        <v>1</v>
      </c>
      <c r="M21" s="1">
        <f t="shared" si="2"/>
        <v>0.68861454046639226</v>
      </c>
      <c r="N21" s="1">
        <f t="shared" si="3"/>
        <v>0.66941015089163225</v>
      </c>
    </row>
    <row r="22" spans="1:14" x14ac:dyDescent="0.2">
      <c r="A22">
        <v>60</v>
      </c>
      <c r="B22">
        <v>98.4</v>
      </c>
      <c r="C22">
        <v>22.4</v>
      </c>
      <c r="D22">
        <v>98.4</v>
      </c>
      <c r="E22">
        <v>22</v>
      </c>
      <c r="F22">
        <v>61.8</v>
      </c>
      <c r="G22">
        <v>17.3</v>
      </c>
      <c r="H22">
        <v>61.7</v>
      </c>
      <c r="I22">
        <v>17.2</v>
      </c>
      <c r="J22" s="1">
        <f t="shared" si="0"/>
        <v>0.78181818181818175</v>
      </c>
      <c r="K22">
        <v>1</v>
      </c>
      <c r="L22" s="1">
        <f t="shared" si="1"/>
        <v>1</v>
      </c>
      <c r="M22" s="1">
        <f t="shared" si="2"/>
        <v>0.62804878048780477</v>
      </c>
      <c r="N22" s="1">
        <f t="shared" si="3"/>
        <v>0.62703252032520329</v>
      </c>
    </row>
    <row r="23" spans="1:14" x14ac:dyDescent="0.2">
      <c r="A23">
        <v>80</v>
      </c>
      <c r="B23">
        <v>122</v>
      </c>
      <c r="C23">
        <v>32.799999999999997</v>
      </c>
      <c r="D23">
        <v>121.3</v>
      </c>
      <c r="E23">
        <v>31.8</v>
      </c>
      <c r="F23">
        <v>72.5</v>
      </c>
      <c r="G23">
        <v>23.3</v>
      </c>
      <c r="H23">
        <v>71.8</v>
      </c>
      <c r="I23">
        <v>23</v>
      </c>
      <c r="J23" s="1">
        <f t="shared" si="0"/>
        <v>0.72327044025157228</v>
      </c>
      <c r="K23">
        <v>1</v>
      </c>
      <c r="L23" s="1">
        <f t="shared" si="1"/>
        <v>0.99426229508196717</v>
      </c>
      <c r="M23" s="1">
        <f t="shared" si="2"/>
        <v>0.59426229508196726</v>
      </c>
      <c r="N23" s="1">
        <f t="shared" si="3"/>
        <v>0.58852459016393444</v>
      </c>
    </row>
    <row r="24" spans="1:14" x14ac:dyDescent="0.2">
      <c r="A24">
        <v>100</v>
      </c>
      <c r="B24">
        <v>140.6</v>
      </c>
      <c r="C24">
        <v>44.7</v>
      </c>
      <c r="D24">
        <v>140.80000000000001</v>
      </c>
      <c r="E24">
        <v>44.1</v>
      </c>
      <c r="F24">
        <v>81.400000000000006</v>
      </c>
      <c r="G24">
        <v>30.5</v>
      </c>
      <c r="H24">
        <v>81.2</v>
      </c>
      <c r="I24">
        <v>30</v>
      </c>
      <c r="J24" s="1">
        <f t="shared" si="0"/>
        <v>0.68027210884353739</v>
      </c>
      <c r="K24">
        <v>1</v>
      </c>
      <c r="L24" s="1">
        <f t="shared" si="1"/>
        <v>1.0014224751066858</v>
      </c>
      <c r="M24" s="1">
        <f t="shared" si="2"/>
        <v>0.57894736842105265</v>
      </c>
      <c r="N24" s="1">
        <f t="shared" si="3"/>
        <v>0.57752489331436707</v>
      </c>
    </row>
    <row r="25" spans="1:14" x14ac:dyDescent="0.2">
      <c r="A25">
        <v>120</v>
      </c>
      <c r="B25">
        <v>161.80000000000001</v>
      </c>
      <c r="C25">
        <v>58.4</v>
      </c>
      <c r="D25">
        <v>160</v>
      </c>
      <c r="E25">
        <v>57.4</v>
      </c>
      <c r="F25">
        <v>90.1</v>
      </c>
      <c r="G25">
        <v>37.9</v>
      </c>
      <c r="H25">
        <v>90.2</v>
      </c>
      <c r="I25">
        <v>38.1</v>
      </c>
      <c r="J25" s="1">
        <f t="shared" si="0"/>
        <v>0.66376306620209058</v>
      </c>
      <c r="K25">
        <v>1</v>
      </c>
      <c r="L25" s="1">
        <f t="shared" si="1"/>
        <v>0.98887515451174279</v>
      </c>
      <c r="M25" s="1">
        <f t="shared" si="2"/>
        <v>0.55686032138442509</v>
      </c>
      <c r="N25" s="1">
        <f t="shared" si="3"/>
        <v>0.55747836835599507</v>
      </c>
    </row>
    <row r="26" spans="1:14" x14ac:dyDescent="0.2">
      <c r="A26">
        <v>140</v>
      </c>
      <c r="B26">
        <v>181.4</v>
      </c>
      <c r="C26">
        <v>70.7</v>
      </c>
      <c r="D26">
        <v>181</v>
      </c>
      <c r="E26">
        <v>68.7</v>
      </c>
      <c r="F26">
        <v>98.2</v>
      </c>
      <c r="G26">
        <v>44.4</v>
      </c>
      <c r="H26">
        <v>98.2</v>
      </c>
      <c r="I26">
        <v>43.8</v>
      </c>
      <c r="J26" s="1">
        <f t="shared" si="0"/>
        <v>0.63755458515283836</v>
      </c>
      <c r="K26">
        <v>1</v>
      </c>
      <c r="L26" s="1">
        <f t="shared" si="1"/>
        <v>0.99779492833517092</v>
      </c>
      <c r="M26" s="1">
        <f t="shared" si="2"/>
        <v>0.54134509371554573</v>
      </c>
      <c r="N26" s="1">
        <f t="shared" si="3"/>
        <v>0.54134509371554573</v>
      </c>
    </row>
    <row r="27" spans="1:14" x14ac:dyDescent="0.2">
      <c r="A27">
        <v>160</v>
      </c>
      <c r="B27">
        <v>196.8</v>
      </c>
      <c r="C27">
        <v>86</v>
      </c>
      <c r="D27">
        <v>196</v>
      </c>
      <c r="E27">
        <v>84</v>
      </c>
      <c r="F27">
        <v>105.3</v>
      </c>
      <c r="G27">
        <v>51.8</v>
      </c>
      <c r="H27">
        <v>104.7</v>
      </c>
      <c r="I27">
        <v>51</v>
      </c>
      <c r="J27" s="1">
        <f t="shared" si="0"/>
        <v>0.6071428571428571</v>
      </c>
      <c r="K27">
        <v>1</v>
      </c>
      <c r="L27" s="1">
        <f t="shared" si="1"/>
        <v>0.99593495934959342</v>
      </c>
      <c r="M27" s="1">
        <f t="shared" si="2"/>
        <v>0.53506097560975607</v>
      </c>
      <c r="N27" s="1">
        <f t="shared" si="3"/>
        <v>0.53201219512195119</v>
      </c>
    </row>
    <row r="28" spans="1:14" x14ac:dyDescent="0.2">
      <c r="A28">
        <v>180</v>
      </c>
      <c r="B28">
        <v>214.7</v>
      </c>
      <c r="C28">
        <v>113.5</v>
      </c>
      <c r="D28">
        <v>213.5</v>
      </c>
      <c r="E28">
        <v>111.7</v>
      </c>
      <c r="F28">
        <v>111.2</v>
      </c>
      <c r="G28">
        <v>67.599999999999994</v>
      </c>
      <c r="H28">
        <v>110.9</v>
      </c>
      <c r="I28">
        <v>67</v>
      </c>
      <c r="J28" s="1">
        <f t="shared" si="0"/>
        <v>0.59982094897045657</v>
      </c>
      <c r="K28">
        <v>1</v>
      </c>
      <c r="L28" s="1">
        <f t="shared" si="1"/>
        <v>0.99441080577550078</v>
      </c>
      <c r="M28" s="1">
        <f t="shared" si="2"/>
        <v>0.51793199813693525</v>
      </c>
      <c r="N28" s="1">
        <f t="shared" si="3"/>
        <v>0.51653469958081044</v>
      </c>
    </row>
    <row r="29" spans="1:14" x14ac:dyDescent="0.2">
      <c r="A29">
        <v>200</v>
      </c>
      <c r="B29">
        <v>231.3</v>
      </c>
      <c r="C29">
        <v>129.1</v>
      </c>
      <c r="D29">
        <v>229.6</v>
      </c>
      <c r="E29">
        <v>126.1</v>
      </c>
      <c r="F29">
        <v>117.2</v>
      </c>
      <c r="G29">
        <v>74.3</v>
      </c>
      <c r="H29">
        <v>117.3</v>
      </c>
      <c r="I29">
        <v>74.099999999999994</v>
      </c>
      <c r="J29" s="1">
        <f t="shared" si="0"/>
        <v>0.58762886597938147</v>
      </c>
      <c r="K29">
        <v>1</v>
      </c>
      <c r="L29" s="1">
        <f t="shared" si="1"/>
        <v>0.99265023778642447</v>
      </c>
      <c r="M29" s="1">
        <f t="shared" si="2"/>
        <v>0.50670125378296582</v>
      </c>
      <c r="N29" s="1">
        <f t="shared" si="3"/>
        <v>0.50713359273670555</v>
      </c>
    </row>
    <row r="30" spans="1:14" x14ac:dyDescent="0.2">
      <c r="A30">
        <v>300</v>
      </c>
      <c r="B30">
        <v>300.39999999999998</v>
      </c>
      <c r="C30">
        <v>202.8</v>
      </c>
      <c r="D30">
        <v>300.2</v>
      </c>
      <c r="E30">
        <v>199.7</v>
      </c>
      <c r="F30">
        <v>142.80000000000001</v>
      </c>
      <c r="G30">
        <v>108.3</v>
      </c>
      <c r="H30">
        <v>143.1</v>
      </c>
      <c r="I30">
        <v>108.4</v>
      </c>
      <c r="J30" s="1">
        <f t="shared" si="0"/>
        <v>0.54281422133199808</v>
      </c>
      <c r="K30">
        <v>1</v>
      </c>
      <c r="L30" s="1">
        <f t="shared" si="1"/>
        <v>0.99933422103861524</v>
      </c>
      <c r="M30" s="1">
        <f t="shared" si="2"/>
        <v>0.47536617842876172</v>
      </c>
      <c r="N30" s="1">
        <f t="shared" si="3"/>
        <v>0.47636484687083891</v>
      </c>
    </row>
    <row r="31" spans="1:14" x14ac:dyDescent="0.2">
      <c r="A31">
        <v>400</v>
      </c>
      <c r="B31">
        <v>355.8</v>
      </c>
      <c r="C31">
        <v>295.39999999999998</v>
      </c>
      <c r="D31">
        <v>355.6</v>
      </c>
      <c r="E31">
        <v>292.7</v>
      </c>
      <c r="F31">
        <v>163.69999999999999</v>
      </c>
      <c r="G31">
        <v>149.30000000000001</v>
      </c>
      <c r="H31">
        <v>163.30000000000001</v>
      </c>
      <c r="I31">
        <v>149.1</v>
      </c>
      <c r="J31" s="1">
        <f t="shared" si="0"/>
        <v>0.50939528527502564</v>
      </c>
      <c r="K31">
        <v>1</v>
      </c>
      <c r="L31" s="1">
        <f t="shared" si="1"/>
        <v>0.99943788645306353</v>
      </c>
      <c r="M31" s="1">
        <f t="shared" si="2"/>
        <v>0.46008993816750982</v>
      </c>
      <c r="N31" s="1">
        <f t="shared" si="3"/>
        <v>0.45896571107363687</v>
      </c>
    </row>
    <row r="32" spans="1:14" x14ac:dyDescent="0.2">
      <c r="A32">
        <v>500</v>
      </c>
      <c r="B32">
        <v>404.5</v>
      </c>
      <c r="C32">
        <v>421.2</v>
      </c>
      <c r="D32">
        <v>402.7</v>
      </c>
      <c r="E32">
        <v>414</v>
      </c>
      <c r="F32">
        <v>179.5</v>
      </c>
      <c r="G32">
        <v>203</v>
      </c>
      <c r="H32">
        <v>179.5</v>
      </c>
      <c r="I32">
        <v>205.7</v>
      </c>
      <c r="J32" s="1">
        <f t="shared" si="0"/>
        <v>0.49685990338164249</v>
      </c>
      <c r="K32">
        <v>1</v>
      </c>
      <c r="L32" s="1">
        <f t="shared" si="1"/>
        <v>0.99555006180469718</v>
      </c>
      <c r="M32" s="1">
        <f t="shared" si="2"/>
        <v>0.4437577255871446</v>
      </c>
      <c r="N32" s="1">
        <f t="shared" si="3"/>
        <v>0.4437577255871446</v>
      </c>
    </row>
    <row r="33" spans="1:14" x14ac:dyDescent="0.2">
      <c r="A33">
        <v>600</v>
      </c>
      <c r="B33">
        <v>447.2</v>
      </c>
      <c r="C33">
        <v>566.9</v>
      </c>
      <c r="D33">
        <v>446.9</v>
      </c>
      <c r="E33">
        <v>552</v>
      </c>
      <c r="F33">
        <v>194.4</v>
      </c>
      <c r="G33">
        <v>262.39999999999998</v>
      </c>
      <c r="H33">
        <v>193.9</v>
      </c>
      <c r="I33">
        <v>261.60000000000002</v>
      </c>
      <c r="J33" s="1">
        <f t="shared" si="0"/>
        <v>0.47391304347826091</v>
      </c>
      <c r="K33">
        <v>1</v>
      </c>
      <c r="L33" s="1">
        <f t="shared" si="1"/>
        <v>0.99932915921288012</v>
      </c>
      <c r="M33" s="1">
        <f t="shared" si="2"/>
        <v>0.43470483005366728</v>
      </c>
      <c r="N33" s="1">
        <f t="shared" si="3"/>
        <v>0.43358676207513419</v>
      </c>
    </row>
    <row r="34" spans="1:14" x14ac:dyDescent="0.2">
      <c r="A34">
        <v>700</v>
      </c>
      <c r="B34">
        <v>480</v>
      </c>
      <c r="C34">
        <v>616.5</v>
      </c>
      <c r="D34">
        <v>482.3</v>
      </c>
      <c r="E34">
        <v>608.9</v>
      </c>
      <c r="F34">
        <v>205</v>
      </c>
      <c r="G34">
        <v>279.39999999999998</v>
      </c>
      <c r="H34">
        <v>204.8</v>
      </c>
      <c r="I34">
        <v>280.2</v>
      </c>
      <c r="J34" s="1">
        <f t="shared" si="0"/>
        <v>0.46017408441451796</v>
      </c>
      <c r="K34">
        <v>1</v>
      </c>
      <c r="L34" s="1">
        <f t="shared" si="1"/>
        <v>1.0047916666666667</v>
      </c>
      <c r="M34" s="1">
        <f t="shared" si="2"/>
        <v>0.42708333333333331</v>
      </c>
      <c r="N34" s="1">
        <f t="shared" si="3"/>
        <v>0.42666666666666669</v>
      </c>
    </row>
    <row r="35" spans="1:14" x14ac:dyDescent="0.2">
      <c r="A35">
        <v>800</v>
      </c>
      <c r="B35">
        <v>513.79999999999995</v>
      </c>
      <c r="C35">
        <v>712.4</v>
      </c>
      <c r="D35">
        <v>517</v>
      </c>
      <c r="E35">
        <v>705.8</v>
      </c>
      <c r="F35">
        <v>216</v>
      </c>
      <c r="G35">
        <v>312.89999999999998</v>
      </c>
      <c r="H35">
        <v>217</v>
      </c>
      <c r="I35">
        <v>313.89999999999998</v>
      </c>
      <c r="J35" s="1">
        <f t="shared" si="0"/>
        <v>0.44474355341456501</v>
      </c>
      <c r="K35">
        <v>1</v>
      </c>
      <c r="L35" s="1">
        <f t="shared" si="1"/>
        <v>1.0062281043207475</v>
      </c>
      <c r="M35" s="1">
        <f t="shared" si="2"/>
        <v>0.42039704165044767</v>
      </c>
      <c r="N35" s="1">
        <f t="shared" si="3"/>
        <v>0.42234332425068122</v>
      </c>
    </row>
    <row r="36" spans="1:14" x14ac:dyDescent="0.2">
      <c r="A36">
        <v>900</v>
      </c>
      <c r="B36">
        <v>543.29999999999995</v>
      </c>
      <c r="C36">
        <v>842.5</v>
      </c>
      <c r="D36">
        <v>540.6</v>
      </c>
      <c r="E36">
        <v>833.4</v>
      </c>
      <c r="F36">
        <v>226</v>
      </c>
      <c r="G36">
        <v>360.3</v>
      </c>
      <c r="H36">
        <v>225.8</v>
      </c>
      <c r="I36">
        <v>361.5</v>
      </c>
      <c r="J36" s="1">
        <f t="shared" si="0"/>
        <v>0.43376529877609793</v>
      </c>
      <c r="K36">
        <v>1</v>
      </c>
      <c r="L36" s="1">
        <f t="shared" si="1"/>
        <v>0.99503036996134742</v>
      </c>
      <c r="M36" s="1">
        <f t="shared" si="2"/>
        <v>0.41597644027240938</v>
      </c>
      <c r="N36" s="1">
        <f t="shared" si="3"/>
        <v>0.4156083195288055</v>
      </c>
    </row>
    <row r="37" spans="1:14" x14ac:dyDescent="0.2">
      <c r="A37">
        <v>1000</v>
      </c>
      <c r="B37">
        <v>572</v>
      </c>
      <c r="C37">
        <v>960.5</v>
      </c>
      <c r="D37">
        <v>572.70000000000005</v>
      </c>
      <c r="E37">
        <v>949.2</v>
      </c>
      <c r="F37">
        <v>236</v>
      </c>
      <c r="G37">
        <v>404.8</v>
      </c>
      <c r="H37">
        <v>235</v>
      </c>
      <c r="I37">
        <v>404.1</v>
      </c>
      <c r="J37" s="1">
        <f t="shared" si="0"/>
        <v>0.42572692793931732</v>
      </c>
      <c r="K37">
        <v>1</v>
      </c>
      <c r="L37" s="1">
        <f t="shared" si="1"/>
        <v>1.0012237762237763</v>
      </c>
      <c r="M37" s="1">
        <f t="shared" si="2"/>
        <v>0.41258741258741261</v>
      </c>
      <c r="N37" s="1">
        <f t="shared" si="3"/>
        <v>0.41083916083916083</v>
      </c>
    </row>
    <row r="38" spans="1:14" x14ac:dyDescent="0.2">
      <c r="A38">
        <v>1100</v>
      </c>
      <c r="B38">
        <v>590.70000000000005</v>
      </c>
      <c r="C38">
        <v>1090.8</v>
      </c>
      <c r="D38">
        <v>591.70000000000005</v>
      </c>
      <c r="E38">
        <v>1071.2</v>
      </c>
      <c r="F38">
        <v>242.1</v>
      </c>
      <c r="G38">
        <v>449</v>
      </c>
      <c r="H38">
        <v>242</v>
      </c>
      <c r="I38">
        <v>448.2</v>
      </c>
      <c r="J38" s="1">
        <f t="shared" si="0"/>
        <v>0.4184092606422703</v>
      </c>
      <c r="K38">
        <v>1</v>
      </c>
      <c r="L38" s="1">
        <f t="shared" si="1"/>
        <v>1.0016929067208398</v>
      </c>
      <c r="M38" s="1">
        <f t="shared" si="2"/>
        <v>0.40985271711528692</v>
      </c>
      <c r="N38" s="1">
        <f t="shared" si="3"/>
        <v>0.40968342644320294</v>
      </c>
    </row>
    <row r="39" spans="1:14" x14ac:dyDescent="0.2">
      <c r="A39">
        <v>1200</v>
      </c>
      <c r="B39">
        <v>614.6</v>
      </c>
      <c r="C39">
        <v>1147.8</v>
      </c>
      <c r="D39">
        <v>616.4</v>
      </c>
      <c r="E39">
        <v>1120.5999999999999</v>
      </c>
      <c r="F39">
        <v>248.6</v>
      </c>
      <c r="G39">
        <v>461.5</v>
      </c>
      <c r="H39">
        <v>247</v>
      </c>
      <c r="I39">
        <v>458.3</v>
      </c>
      <c r="J39" s="1">
        <f t="shared" si="0"/>
        <v>0.40897733357130112</v>
      </c>
      <c r="K39">
        <v>1</v>
      </c>
      <c r="L39" s="1">
        <f t="shared" si="1"/>
        <v>1.0029287341360233</v>
      </c>
      <c r="M39" s="1">
        <f t="shared" si="2"/>
        <v>0.40449072567523592</v>
      </c>
      <c r="N39" s="1">
        <f t="shared" si="3"/>
        <v>0.40188740644321508</v>
      </c>
    </row>
    <row r="40" spans="1:14" x14ac:dyDescent="0.2">
      <c r="A40">
        <v>1300</v>
      </c>
      <c r="B40">
        <v>635.29999999999995</v>
      </c>
      <c r="C40">
        <v>1206</v>
      </c>
      <c r="D40">
        <v>636.20000000000005</v>
      </c>
      <c r="E40">
        <v>1194.9000000000001</v>
      </c>
      <c r="F40">
        <v>254.8</v>
      </c>
      <c r="G40">
        <v>482.9</v>
      </c>
      <c r="H40">
        <v>253.1</v>
      </c>
      <c r="I40">
        <v>478.9</v>
      </c>
      <c r="J40" s="1">
        <f t="shared" si="0"/>
        <v>0.40078667670934803</v>
      </c>
      <c r="K40">
        <v>1</v>
      </c>
      <c r="L40" s="1">
        <f t="shared" si="1"/>
        <v>1.0014166535495044</v>
      </c>
      <c r="M40" s="1">
        <f t="shared" si="2"/>
        <v>0.40107036045962541</v>
      </c>
      <c r="N40" s="1">
        <f t="shared" si="3"/>
        <v>0.39839445931056194</v>
      </c>
    </row>
    <row r="41" spans="1:14" x14ac:dyDescent="0.2">
      <c r="A41">
        <v>1400</v>
      </c>
      <c r="B41">
        <v>654.5</v>
      </c>
      <c r="C41">
        <v>1345</v>
      </c>
      <c r="D41">
        <v>651.29999999999995</v>
      </c>
      <c r="E41">
        <v>1324.7</v>
      </c>
      <c r="F41">
        <v>259.8</v>
      </c>
      <c r="G41">
        <v>527.79999999999995</v>
      </c>
      <c r="H41">
        <v>259.10000000000002</v>
      </c>
      <c r="I41">
        <v>524.6</v>
      </c>
      <c r="J41" s="1">
        <f t="shared" si="0"/>
        <v>0.39601419189250398</v>
      </c>
      <c r="K41">
        <v>1</v>
      </c>
      <c r="L41" s="1">
        <f t="shared" si="1"/>
        <v>0.99511077158135974</v>
      </c>
      <c r="M41" s="1">
        <f t="shared" si="2"/>
        <v>0.3969442322383499</v>
      </c>
      <c r="N41" s="1">
        <f t="shared" si="3"/>
        <v>0.39587471352177239</v>
      </c>
    </row>
    <row r="42" spans="1:14" x14ac:dyDescent="0.2">
      <c r="A42">
        <v>1500</v>
      </c>
      <c r="B42">
        <v>671.6</v>
      </c>
      <c r="C42">
        <v>1362.1</v>
      </c>
      <c r="D42">
        <v>672.9</v>
      </c>
      <c r="E42">
        <v>1350.8</v>
      </c>
      <c r="F42">
        <v>264.89999999999998</v>
      </c>
      <c r="G42">
        <v>526.1</v>
      </c>
      <c r="H42">
        <v>265.39999999999998</v>
      </c>
      <c r="I42">
        <v>528.1</v>
      </c>
      <c r="J42" s="1">
        <f t="shared" si="0"/>
        <v>0.39095350903168496</v>
      </c>
      <c r="K42">
        <v>1</v>
      </c>
      <c r="L42" s="1">
        <f t="shared" si="1"/>
        <v>1.0019356759976175</v>
      </c>
      <c r="M42" s="1">
        <f t="shared" si="2"/>
        <v>0.39443120905300771</v>
      </c>
      <c r="N42" s="1">
        <f t="shared" si="3"/>
        <v>0.39517569982132217</v>
      </c>
    </row>
    <row r="43" spans="1:14" x14ac:dyDescent="0.2">
      <c r="A43">
        <v>1600</v>
      </c>
      <c r="B43">
        <v>685.4</v>
      </c>
      <c r="C43">
        <v>1505.2</v>
      </c>
      <c r="D43">
        <v>689.1</v>
      </c>
      <c r="E43">
        <v>1489.8</v>
      </c>
      <c r="F43">
        <v>270.3</v>
      </c>
      <c r="G43">
        <v>575.70000000000005</v>
      </c>
      <c r="H43">
        <v>269.3</v>
      </c>
      <c r="I43">
        <v>571.29999999999995</v>
      </c>
      <c r="J43" s="1">
        <f t="shared" si="0"/>
        <v>0.3834742918512552</v>
      </c>
      <c r="K43">
        <v>1</v>
      </c>
      <c r="L43" s="1">
        <f t="shared" si="1"/>
        <v>1.0053983075576307</v>
      </c>
      <c r="M43" s="1">
        <f t="shared" si="2"/>
        <v>0.39436825211555299</v>
      </c>
      <c r="N43" s="1">
        <f t="shared" si="3"/>
        <v>0.39290925007295013</v>
      </c>
    </row>
    <row r="44" spans="1:14" x14ac:dyDescent="0.2">
      <c r="A44">
        <v>1700</v>
      </c>
      <c r="B44">
        <v>699.4</v>
      </c>
      <c r="C44">
        <v>1588.8</v>
      </c>
      <c r="D44">
        <v>703.8</v>
      </c>
      <c r="E44">
        <v>1575.3</v>
      </c>
      <c r="F44">
        <v>273.5</v>
      </c>
      <c r="G44">
        <v>599.9</v>
      </c>
      <c r="H44">
        <v>274.7</v>
      </c>
      <c r="I44">
        <v>601.6</v>
      </c>
      <c r="J44" s="1">
        <f t="shared" si="0"/>
        <v>0.38189551196597477</v>
      </c>
      <c r="K44">
        <v>1</v>
      </c>
      <c r="L44" s="1">
        <f t="shared" si="1"/>
        <v>1.0062911066628539</v>
      </c>
      <c r="M44" s="1">
        <f t="shared" si="2"/>
        <v>0.39104947097512155</v>
      </c>
      <c r="N44" s="1">
        <f t="shared" si="3"/>
        <v>0.39276522733771801</v>
      </c>
    </row>
    <row r="45" spans="1:14" x14ac:dyDescent="0.2">
      <c r="A45">
        <v>1800</v>
      </c>
      <c r="B45">
        <v>715.9</v>
      </c>
      <c r="C45">
        <v>1702.3</v>
      </c>
      <c r="D45">
        <v>716.3</v>
      </c>
      <c r="E45">
        <v>1683.2</v>
      </c>
      <c r="F45">
        <v>277.39999999999998</v>
      </c>
      <c r="G45">
        <v>632</v>
      </c>
      <c r="H45">
        <v>277.60000000000002</v>
      </c>
      <c r="I45">
        <v>632.1</v>
      </c>
      <c r="J45" s="1">
        <f t="shared" si="0"/>
        <v>0.37553469581749049</v>
      </c>
      <c r="K45">
        <v>1</v>
      </c>
      <c r="L45" s="1">
        <f t="shared" si="1"/>
        <v>1.0005587372538063</v>
      </c>
      <c r="M45" s="1">
        <f t="shared" si="2"/>
        <v>0.38748428551473668</v>
      </c>
      <c r="N45" s="1">
        <f t="shared" si="3"/>
        <v>0.38776365414163994</v>
      </c>
    </row>
    <row r="46" spans="1:14" x14ac:dyDescent="0.2">
      <c r="A46">
        <v>1900</v>
      </c>
      <c r="B46">
        <v>725.5</v>
      </c>
      <c r="C46">
        <v>1915.2</v>
      </c>
      <c r="D46">
        <v>730</v>
      </c>
      <c r="E46">
        <v>1904.8</v>
      </c>
      <c r="F46">
        <v>280.8</v>
      </c>
      <c r="G46">
        <v>706.6</v>
      </c>
      <c r="H46">
        <v>281.10000000000002</v>
      </c>
      <c r="I46">
        <v>706.3</v>
      </c>
      <c r="J46" s="1">
        <f t="shared" si="0"/>
        <v>0.37080008399832004</v>
      </c>
      <c r="K46">
        <v>1</v>
      </c>
      <c r="L46" s="1">
        <f t="shared" si="1"/>
        <v>1.0062026188835287</v>
      </c>
      <c r="M46" s="1">
        <f t="shared" si="2"/>
        <v>0.3870434183321847</v>
      </c>
      <c r="N46" s="1">
        <f t="shared" si="3"/>
        <v>0.3874569262577533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  <row r="50" spans="12:14" x14ac:dyDescent="0.2">
      <c r="L50" s="1"/>
      <c r="M50" s="1"/>
      <c r="N50" s="1"/>
    </row>
    <row r="51" spans="12:14" x14ac:dyDescent="0.2">
      <c r="L51" s="1"/>
      <c r="M51" s="1"/>
      <c r="N51" s="1"/>
    </row>
    <row r="52" spans="12:14" x14ac:dyDescent="0.2">
      <c r="L52" s="1"/>
      <c r="M52" s="1"/>
      <c r="N52" s="1"/>
    </row>
    <row r="53" spans="12:14" x14ac:dyDescent="0.2">
      <c r="L53" s="1"/>
      <c r="M53" s="1"/>
      <c r="N53" s="1"/>
    </row>
    <row r="54" spans="12:14" x14ac:dyDescent="0.2">
      <c r="L54" s="1"/>
      <c r="M54" s="1"/>
      <c r="N54" s="1"/>
    </row>
    <row r="55" spans="12:14" x14ac:dyDescent="0.2">
      <c r="L55" s="1"/>
      <c r="M55" s="1"/>
      <c r="N55" s="1"/>
    </row>
    <row r="56" spans="12:14" x14ac:dyDescent="0.2">
      <c r="L56" s="1"/>
      <c r="M56" s="1"/>
      <c r="N56" s="1"/>
    </row>
    <row r="57" spans="12:14" x14ac:dyDescent="0.2">
      <c r="L57" s="1"/>
      <c r="M57" s="1"/>
      <c r="N57" s="1"/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F0823-5CD8-3940-ADAD-49121E744578}">
  <dimension ref="A1:N49"/>
  <sheetViews>
    <sheetView topLeftCell="A2" workbookViewId="0">
      <selection activeCell="S18" sqref="S18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67</v>
      </c>
      <c r="K1" t="s">
        <v>60</v>
      </c>
      <c r="L1" t="s">
        <v>61</v>
      </c>
      <c r="M1" t="s">
        <v>5</v>
      </c>
      <c r="N1" t="s">
        <v>57</v>
      </c>
    </row>
    <row r="2" spans="1:14" x14ac:dyDescent="0.2">
      <c r="A2">
        <v>2</v>
      </c>
      <c r="B2">
        <v>23</v>
      </c>
      <c r="C2">
        <v>3.2</v>
      </c>
      <c r="D2">
        <v>17.899999999999999</v>
      </c>
      <c r="E2">
        <v>3</v>
      </c>
      <c r="F2">
        <v>30</v>
      </c>
      <c r="G2">
        <v>4.4000000000000004</v>
      </c>
      <c r="H2">
        <v>16.7</v>
      </c>
      <c r="I2">
        <v>4</v>
      </c>
      <c r="J2" s="1">
        <f t="shared" ref="J2:J46" si="0">I2/E2</f>
        <v>1.3333333333333333</v>
      </c>
      <c r="K2">
        <v>1</v>
      </c>
      <c r="L2" s="1">
        <f>D2/B2</f>
        <v>0.77826086956521734</v>
      </c>
      <c r="M2" s="1">
        <f>F2/B2</f>
        <v>1.3043478260869565</v>
      </c>
      <c r="N2" s="1">
        <f t="shared" ref="N2:N29" si="1">H2/B2</f>
        <v>0.72608695652173905</v>
      </c>
    </row>
    <row r="3" spans="1:14" x14ac:dyDescent="0.2">
      <c r="A3">
        <v>4</v>
      </c>
      <c r="B3">
        <v>49.6</v>
      </c>
      <c r="C3">
        <v>4.8</v>
      </c>
      <c r="D3">
        <v>45.6</v>
      </c>
      <c r="E3">
        <v>4.7</v>
      </c>
      <c r="F3">
        <v>51.8</v>
      </c>
      <c r="G3">
        <v>5.8</v>
      </c>
      <c r="H3">
        <v>38.700000000000003</v>
      </c>
      <c r="I3">
        <v>5.0999999999999996</v>
      </c>
      <c r="J3" s="1">
        <f t="shared" si="0"/>
        <v>1.0851063829787233</v>
      </c>
      <c r="K3">
        <v>1</v>
      </c>
      <c r="L3" s="1">
        <f t="shared" ref="L3:L29" si="2">D3/B3</f>
        <v>0.91935483870967738</v>
      </c>
      <c r="M3" s="1">
        <f t="shared" ref="M3:M29" si="3">F3/B3</f>
        <v>1.0443548387096773</v>
      </c>
      <c r="N3" s="1">
        <f t="shared" si="1"/>
        <v>0.780241935483871</v>
      </c>
    </row>
    <row r="4" spans="1:14" x14ac:dyDescent="0.2">
      <c r="A4">
        <v>6</v>
      </c>
      <c r="B4">
        <v>73.2</v>
      </c>
      <c r="C4">
        <v>6.4</v>
      </c>
      <c r="D4">
        <v>69.2</v>
      </c>
      <c r="E4">
        <v>6.5</v>
      </c>
      <c r="F4">
        <v>67.900000000000006</v>
      </c>
      <c r="G4">
        <v>6.6</v>
      </c>
      <c r="H4">
        <v>60</v>
      </c>
      <c r="I4">
        <v>6.2</v>
      </c>
      <c r="J4" s="1">
        <f t="shared" si="0"/>
        <v>0.9538461538461539</v>
      </c>
      <c r="K4">
        <v>1</v>
      </c>
      <c r="L4" s="1">
        <f t="shared" si="2"/>
        <v>0.94535519125683065</v>
      </c>
      <c r="M4" s="1">
        <f t="shared" si="3"/>
        <v>0.92759562841530063</v>
      </c>
      <c r="N4" s="1">
        <f t="shared" si="1"/>
        <v>0.81967213114754101</v>
      </c>
    </row>
    <row r="5" spans="1:14" x14ac:dyDescent="0.2">
      <c r="A5">
        <v>8</v>
      </c>
      <c r="B5">
        <v>93</v>
      </c>
      <c r="C5">
        <v>8.1</v>
      </c>
      <c r="D5">
        <v>88.2</v>
      </c>
      <c r="E5">
        <v>7.8</v>
      </c>
      <c r="F5">
        <v>83.6</v>
      </c>
      <c r="G5">
        <v>7.6</v>
      </c>
      <c r="H5">
        <v>76.2</v>
      </c>
      <c r="I5">
        <v>7.3</v>
      </c>
      <c r="J5" s="1">
        <f t="shared" si="0"/>
        <v>0.9358974358974359</v>
      </c>
      <c r="K5">
        <v>1</v>
      </c>
      <c r="L5" s="1">
        <f t="shared" si="2"/>
        <v>0.94838709677419353</v>
      </c>
      <c r="M5" s="1">
        <f t="shared" si="3"/>
        <v>0.89892473118279559</v>
      </c>
      <c r="N5" s="1">
        <f t="shared" si="1"/>
        <v>0.8193548387096774</v>
      </c>
    </row>
    <row r="6" spans="1:14" x14ac:dyDescent="0.2">
      <c r="A6">
        <v>10</v>
      </c>
      <c r="B6">
        <v>106.6</v>
      </c>
      <c r="C6">
        <v>9.5</v>
      </c>
      <c r="D6">
        <v>101.9</v>
      </c>
      <c r="E6">
        <v>9.6</v>
      </c>
      <c r="F6">
        <v>93.3</v>
      </c>
      <c r="G6">
        <v>8.5</v>
      </c>
      <c r="H6">
        <v>85.9</v>
      </c>
      <c r="I6">
        <v>8.1</v>
      </c>
      <c r="J6" s="1">
        <f t="shared" si="0"/>
        <v>0.84375</v>
      </c>
      <c r="K6">
        <v>1</v>
      </c>
      <c r="L6" s="1">
        <f t="shared" si="2"/>
        <v>0.95590994371482185</v>
      </c>
      <c r="M6" s="1">
        <f t="shared" si="3"/>
        <v>0.87523452157598502</v>
      </c>
      <c r="N6" s="1">
        <f t="shared" si="1"/>
        <v>0.80581613508442784</v>
      </c>
    </row>
    <row r="7" spans="1:14" x14ac:dyDescent="0.2">
      <c r="A7">
        <v>12</v>
      </c>
      <c r="B7">
        <v>120.8</v>
      </c>
      <c r="C7">
        <v>11</v>
      </c>
      <c r="D7">
        <v>115.3</v>
      </c>
      <c r="E7">
        <v>10.7</v>
      </c>
      <c r="F7">
        <v>103.5</v>
      </c>
      <c r="G7">
        <v>9.1999999999999993</v>
      </c>
      <c r="H7">
        <v>97.2</v>
      </c>
      <c r="I7">
        <v>8.8000000000000007</v>
      </c>
      <c r="J7" s="1">
        <f t="shared" si="0"/>
        <v>0.82242990654205617</v>
      </c>
      <c r="K7">
        <v>1</v>
      </c>
      <c r="L7" s="1">
        <f t="shared" si="2"/>
        <v>0.95447019867549665</v>
      </c>
      <c r="M7" s="1">
        <f t="shared" si="3"/>
        <v>0.85678807947019875</v>
      </c>
      <c r="N7" s="1">
        <f t="shared" si="1"/>
        <v>0.80463576158940397</v>
      </c>
    </row>
    <row r="8" spans="1:14" x14ac:dyDescent="0.2">
      <c r="A8">
        <v>14</v>
      </c>
      <c r="B8">
        <v>131.4</v>
      </c>
      <c r="C8">
        <v>13</v>
      </c>
      <c r="D8">
        <v>125.9</v>
      </c>
      <c r="E8">
        <v>12.8</v>
      </c>
      <c r="F8">
        <v>111.1</v>
      </c>
      <c r="G8">
        <v>10.3</v>
      </c>
      <c r="H8">
        <v>105.2</v>
      </c>
      <c r="I8">
        <v>9.8000000000000007</v>
      </c>
      <c r="J8" s="1">
        <f t="shared" si="0"/>
        <v>0.765625</v>
      </c>
      <c r="K8">
        <v>1</v>
      </c>
      <c r="L8" s="1">
        <f t="shared" si="2"/>
        <v>0.95814307458143078</v>
      </c>
      <c r="M8" s="1">
        <f t="shared" si="3"/>
        <v>0.84550989345509886</v>
      </c>
      <c r="N8" s="1">
        <f t="shared" si="1"/>
        <v>0.80060882800608824</v>
      </c>
    </row>
    <row r="9" spans="1:14" x14ac:dyDescent="0.2">
      <c r="A9">
        <v>16</v>
      </c>
      <c r="B9">
        <v>144.6</v>
      </c>
      <c r="C9">
        <v>15.1</v>
      </c>
      <c r="D9">
        <v>139.4</v>
      </c>
      <c r="E9">
        <v>14.6</v>
      </c>
      <c r="F9">
        <v>120.4</v>
      </c>
      <c r="G9">
        <v>11.7</v>
      </c>
      <c r="H9">
        <v>115.7</v>
      </c>
      <c r="I9">
        <v>11.5</v>
      </c>
      <c r="J9" s="1">
        <f t="shared" si="0"/>
        <v>0.78767123287671237</v>
      </c>
      <c r="K9">
        <v>1</v>
      </c>
      <c r="L9" s="1">
        <f t="shared" si="2"/>
        <v>0.96403872752420483</v>
      </c>
      <c r="M9" s="1">
        <f t="shared" si="3"/>
        <v>0.83264177040110654</v>
      </c>
      <c r="N9" s="1">
        <f t="shared" si="1"/>
        <v>0.80013831258644541</v>
      </c>
    </row>
    <row r="10" spans="1:14" x14ac:dyDescent="0.2">
      <c r="A10">
        <v>18</v>
      </c>
      <c r="B10">
        <v>154.69999999999999</v>
      </c>
      <c r="C10">
        <v>16.899999999999999</v>
      </c>
      <c r="D10">
        <v>147.4</v>
      </c>
      <c r="E10">
        <v>16.3</v>
      </c>
      <c r="F10">
        <v>127.7</v>
      </c>
      <c r="G10">
        <v>13.3</v>
      </c>
      <c r="H10">
        <v>122.3</v>
      </c>
      <c r="I10">
        <v>12.5</v>
      </c>
      <c r="J10" s="1">
        <f t="shared" si="0"/>
        <v>0.76687116564417179</v>
      </c>
      <c r="K10">
        <v>1</v>
      </c>
      <c r="L10" s="1">
        <f t="shared" si="2"/>
        <v>0.95281189398836463</v>
      </c>
      <c r="M10" s="1">
        <f t="shared" si="3"/>
        <v>0.82546864899806083</v>
      </c>
      <c r="N10" s="1">
        <f t="shared" si="1"/>
        <v>0.79056237879767299</v>
      </c>
    </row>
    <row r="11" spans="1:14" x14ac:dyDescent="0.2">
      <c r="A11">
        <v>20</v>
      </c>
      <c r="B11">
        <v>166.7</v>
      </c>
      <c r="C11">
        <v>18.7</v>
      </c>
      <c r="D11">
        <v>160.69999999999999</v>
      </c>
      <c r="E11">
        <v>18.3</v>
      </c>
      <c r="F11">
        <v>133.80000000000001</v>
      </c>
      <c r="G11">
        <v>14</v>
      </c>
      <c r="H11">
        <v>130.19999999999999</v>
      </c>
      <c r="I11">
        <v>13.7</v>
      </c>
      <c r="J11" s="1">
        <f t="shared" si="0"/>
        <v>0.74863387978142071</v>
      </c>
      <c r="K11">
        <v>1</v>
      </c>
      <c r="L11" s="1">
        <f t="shared" si="2"/>
        <v>0.96400719856028794</v>
      </c>
      <c r="M11" s="1">
        <f t="shared" si="3"/>
        <v>0.80263947210557895</v>
      </c>
      <c r="N11" s="1">
        <f t="shared" si="1"/>
        <v>0.78104379124175161</v>
      </c>
    </row>
    <row r="12" spans="1:14" x14ac:dyDescent="0.2">
      <c r="A12">
        <v>22</v>
      </c>
      <c r="B12">
        <v>173.9</v>
      </c>
      <c r="C12">
        <v>21.4</v>
      </c>
      <c r="D12">
        <v>167.8</v>
      </c>
      <c r="E12">
        <v>20.3</v>
      </c>
      <c r="F12">
        <v>140.6</v>
      </c>
      <c r="G12">
        <v>15.1</v>
      </c>
      <c r="H12">
        <v>135.19999999999999</v>
      </c>
      <c r="I12">
        <v>14.4</v>
      </c>
      <c r="J12" s="1">
        <f t="shared" si="0"/>
        <v>0.70935960591133007</v>
      </c>
      <c r="K12">
        <v>1</v>
      </c>
      <c r="L12" s="1">
        <f t="shared" si="2"/>
        <v>0.96492236917768837</v>
      </c>
      <c r="M12" s="1">
        <f t="shared" si="3"/>
        <v>0.80851063829787229</v>
      </c>
      <c r="N12" s="1">
        <f t="shared" si="1"/>
        <v>0.77745830937320293</v>
      </c>
    </row>
    <row r="13" spans="1:14" x14ac:dyDescent="0.2">
      <c r="A13">
        <v>24</v>
      </c>
      <c r="B13">
        <v>186.4</v>
      </c>
      <c r="C13">
        <v>21.6</v>
      </c>
      <c r="D13">
        <v>180</v>
      </c>
      <c r="E13">
        <v>21.5</v>
      </c>
      <c r="F13">
        <v>146.5</v>
      </c>
      <c r="G13">
        <v>15.7</v>
      </c>
      <c r="H13">
        <v>143.5</v>
      </c>
      <c r="I13">
        <v>14.8</v>
      </c>
      <c r="J13" s="1">
        <f t="shared" si="0"/>
        <v>0.68837209302325586</v>
      </c>
      <c r="K13">
        <v>1</v>
      </c>
      <c r="L13" s="1">
        <f t="shared" si="2"/>
        <v>0.96566523605150212</v>
      </c>
      <c r="M13" s="1">
        <f t="shared" si="3"/>
        <v>0.78594420600858361</v>
      </c>
      <c r="N13" s="1">
        <f t="shared" si="1"/>
        <v>0.76984978540772531</v>
      </c>
    </row>
    <row r="14" spans="1:14" x14ac:dyDescent="0.2">
      <c r="A14">
        <v>26</v>
      </c>
      <c r="B14">
        <v>196.6</v>
      </c>
      <c r="C14">
        <v>23.7</v>
      </c>
      <c r="D14">
        <v>188.5</v>
      </c>
      <c r="E14">
        <v>23.3</v>
      </c>
      <c r="F14">
        <v>154.30000000000001</v>
      </c>
      <c r="G14">
        <v>16.7</v>
      </c>
      <c r="H14">
        <v>150.1</v>
      </c>
      <c r="I14">
        <v>16</v>
      </c>
      <c r="J14" s="1">
        <f t="shared" si="0"/>
        <v>0.68669527896995708</v>
      </c>
      <c r="K14">
        <v>1</v>
      </c>
      <c r="L14" s="1">
        <f t="shared" si="2"/>
        <v>0.95879959308240081</v>
      </c>
      <c r="M14" s="1">
        <f t="shared" si="3"/>
        <v>0.78484231943031546</v>
      </c>
      <c r="N14" s="1">
        <f t="shared" si="1"/>
        <v>0.76347914547304174</v>
      </c>
    </row>
    <row r="15" spans="1:14" x14ac:dyDescent="0.2">
      <c r="A15">
        <v>28</v>
      </c>
      <c r="B15">
        <v>206.8</v>
      </c>
      <c r="C15">
        <v>25.9</v>
      </c>
      <c r="D15">
        <v>199</v>
      </c>
      <c r="E15">
        <v>25.2</v>
      </c>
      <c r="F15">
        <v>161.6</v>
      </c>
      <c r="G15">
        <v>17.8</v>
      </c>
      <c r="H15">
        <v>157</v>
      </c>
      <c r="I15">
        <v>17.2</v>
      </c>
      <c r="J15" s="1">
        <f t="shared" si="0"/>
        <v>0.68253968253968256</v>
      </c>
      <c r="K15">
        <v>1</v>
      </c>
      <c r="L15" s="1">
        <f t="shared" si="2"/>
        <v>0.96228239845261121</v>
      </c>
      <c r="M15" s="1">
        <f t="shared" si="3"/>
        <v>0.78143133462282388</v>
      </c>
      <c r="N15" s="1">
        <f t="shared" si="1"/>
        <v>0.75918762088974856</v>
      </c>
    </row>
    <row r="16" spans="1:14" x14ac:dyDescent="0.2">
      <c r="A16">
        <v>30</v>
      </c>
      <c r="B16">
        <v>213.6</v>
      </c>
      <c r="C16">
        <v>27.6</v>
      </c>
      <c r="D16">
        <v>205</v>
      </c>
      <c r="E16">
        <v>27.3</v>
      </c>
      <c r="F16">
        <v>165.6</v>
      </c>
      <c r="G16">
        <v>19</v>
      </c>
      <c r="H16">
        <v>161.6</v>
      </c>
      <c r="I16">
        <v>18.5</v>
      </c>
      <c r="J16" s="1">
        <f t="shared" si="0"/>
        <v>0.67765567765567769</v>
      </c>
      <c r="K16">
        <v>1</v>
      </c>
      <c r="L16" s="1">
        <f t="shared" si="2"/>
        <v>0.95973782771535587</v>
      </c>
      <c r="M16" s="1">
        <f t="shared" si="3"/>
        <v>0.7752808988764045</v>
      </c>
      <c r="N16" s="1">
        <f t="shared" si="1"/>
        <v>0.75655430711610483</v>
      </c>
    </row>
    <row r="17" spans="1:14" x14ac:dyDescent="0.2">
      <c r="A17">
        <v>32</v>
      </c>
      <c r="B17">
        <v>227.9</v>
      </c>
      <c r="C17">
        <v>30.8</v>
      </c>
      <c r="D17">
        <v>217.2</v>
      </c>
      <c r="E17">
        <v>30.4</v>
      </c>
      <c r="F17">
        <v>172.8</v>
      </c>
      <c r="G17">
        <v>20.9</v>
      </c>
      <c r="H17">
        <v>168.3</v>
      </c>
      <c r="I17">
        <v>20.100000000000001</v>
      </c>
      <c r="J17" s="1">
        <f t="shared" si="0"/>
        <v>0.66118421052631582</v>
      </c>
      <c r="K17">
        <v>1</v>
      </c>
      <c r="L17" s="1">
        <f t="shared" si="2"/>
        <v>0.95304958315050459</v>
      </c>
      <c r="M17" s="1">
        <f t="shared" si="3"/>
        <v>0.75822729267222466</v>
      </c>
      <c r="N17" s="1">
        <f t="shared" si="1"/>
        <v>0.7384817902588855</v>
      </c>
    </row>
    <row r="18" spans="1:14" x14ac:dyDescent="0.2">
      <c r="A18">
        <v>34</v>
      </c>
      <c r="B18">
        <v>235.1</v>
      </c>
      <c r="C18">
        <v>33.4</v>
      </c>
      <c r="D18">
        <v>229.9</v>
      </c>
      <c r="E18">
        <v>32.6</v>
      </c>
      <c r="F18">
        <v>179.1</v>
      </c>
      <c r="G18">
        <v>22.1</v>
      </c>
      <c r="H18">
        <v>175.4</v>
      </c>
      <c r="I18">
        <v>21.5</v>
      </c>
      <c r="J18" s="1">
        <f t="shared" si="0"/>
        <v>0.6595092024539877</v>
      </c>
      <c r="K18">
        <v>1</v>
      </c>
      <c r="L18" s="1">
        <f t="shared" si="2"/>
        <v>0.9778817524457678</v>
      </c>
      <c r="M18" s="1">
        <f t="shared" si="3"/>
        <v>0.76180348787749896</v>
      </c>
      <c r="N18" s="1">
        <f t="shared" si="1"/>
        <v>0.74606550404083372</v>
      </c>
    </row>
    <row r="19" spans="1:14" x14ac:dyDescent="0.2">
      <c r="A19">
        <v>36</v>
      </c>
      <c r="B19">
        <v>245.4</v>
      </c>
      <c r="C19">
        <v>35.700000000000003</v>
      </c>
      <c r="D19">
        <v>237.7</v>
      </c>
      <c r="E19">
        <v>35.299999999999997</v>
      </c>
      <c r="F19">
        <v>184.8</v>
      </c>
      <c r="G19">
        <v>23.9</v>
      </c>
      <c r="H19">
        <v>181</v>
      </c>
      <c r="I19">
        <v>23.3</v>
      </c>
      <c r="J19" s="1">
        <f t="shared" si="0"/>
        <v>0.66005665722379614</v>
      </c>
      <c r="K19">
        <v>1</v>
      </c>
      <c r="L19" s="1">
        <f t="shared" si="2"/>
        <v>0.96862265688671545</v>
      </c>
      <c r="M19" s="1">
        <f t="shared" si="3"/>
        <v>0.75305623471882643</v>
      </c>
      <c r="N19" s="1">
        <f t="shared" si="1"/>
        <v>0.73757131214343929</v>
      </c>
    </row>
    <row r="20" spans="1:14" x14ac:dyDescent="0.2">
      <c r="A20">
        <v>38</v>
      </c>
      <c r="B20">
        <v>255.8</v>
      </c>
      <c r="C20">
        <v>38.200000000000003</v>
      </c>
      <c r="D20">
        <v>245.2</v>
      </c>
      <c r="E20">
        <v>37.299999999999997</v>
      </c>
      <c r="F20">
        <v>190.3</v>
      </c>
      <c r="G20">
        <v>25.6</v>
      </c>
      <c r="H20">
        <v>188.1</v>
      </c>
      <c r="I20">
        <v>24.6</v>
      </c>
      <c r="J20" s="1">
        <f t="shared" si="0"/>
        <v>0.65951742627345855</v>
      </c>
      <c r="K20">
        <v>1</v>
      </c>
      <c r="L20" s="1">
        <f t="shared" si="2"/>
        <v>0.95856137607505854</v>
      </c>
      <c r="M20" s="1">
        <f t="shared" si="3"/>
        <v>0.74394057857701335</v>
      </c>
      <c r="N20" s="1">
        <f t="shared" si="1"/>
        <v>0.73534010946051598</v>
      </c>
    </row>
    <row r="21" spans="1:14" x14ac:dyDescent="0.2">
      <c r="A21">
        <v>40</v>
      </c>
      <c r="B21">
        <v>266.3</v>
      </c>
      <c r="C21">
        <v>40.9</v>
      </c>
      <c r="D21">
        <v>255.5</v>
      </c>
      <c r="E21">
        <v>40.200000000000003</v>
      </c>
      <c r="F21">
        <v>197</v>
      </c>
      <c r="G21">
        <v>26.7</v>
      </c>
      <c r="H21">
        <v>192.5</v>
      </c>
      <c r="I21">
        <v>25.8</v>
      </c>
      <c r="J21" s="1">
        <f t="shared" si="0"/>
        <v>0.64179104477611937</v>
      </c>
      <c r="K21">
        <v>1</v>
      </c>
      <c r="L21" s="1">
        <f t="shared" si="2"/>
        <v>0.95944423582425831</v>
      </c>
      <c r="M21" s="1">
        <f t="shared" si="3"/>
        <v>0.73976717987232443</v>
      </c>
      <c r="N21" s="1">
        <f t="shared" si="1"/>
        <v>0.72286894479909869</v>
      </c>
    </row>
    <row r="22" spans="1:14" x14ac:dyDescent="0.2">
      <c r="A22">
        <v>60</v>
      </c>
      <c r="B22">
        <v>359.4</v>
      </c>
      <c r="C22">
        <v>74.5</v>
      </c>
      <c r="D22">
        <v>348.4</v>
      </c>
      <c r="E22">
        <v>73.7</v>
      </c>
      <c r="F22">
        <v>255.2</v>
      </c>
      <c r="G22">
        <v>46</v>
      </c>
      <c r="H22">
        <v>251</v>
      </c>
      <c r="I22">
        <v>44.7</v>
      </c>
      <c r="J22" s="1">
        <f t="shared" si="0"/>
        <v>0.60651289009497966</v>
      </c>
      <c r="K22">
        <v>1</v>
      </c>
      <c r="L22" s="1">
        <f t="shared" si="2"/>
        <v>0.96939343350027829</v>
      </c>
      <c r="M22" s="1">
        <f t="shared" si="3"/>
        <v>0.71007234279354481</v>
      </c>
      <c r="N22" s="1">
        <f t="shared" si="1"/>
        <v>0.69838619922092382</v>
      </c>
    </row>
    <row r="23" spans="1:14" x14ac:dyDescent="0.2">
      <c r="A23">
        <v>80</v>
      </c>
      <c r="B23">
        <v>450.1</v>
      </c>
      <c r="C23">
        <v>124.9</v>
      </c>
      <c r="D23">
        <v>437.3</v>
      </c>
      <c r="E23">
        <v>122.6</v>
      </c>
      <c r="F23">
        <v>309.5</v>
      </c>
      <c r="G23">
        <v>75.7</v>
      </c>
      <c r="H23">
        <v>305.2</v>
      </c>
      <c r="I23">
        <v>74.8</v>
      </c>
      <c r="J23" s="1">
        <f t="shared" si="0"/>
        <v>0.61011419249592169</v>
      </c>
      <c r="K23">
        <v>1</v>
      </c>
      <c r="L23" s="1">
        <f t="shared" si="2"/>
        <v>0.97156187513885806</v>
      </c>
      <c r="M23" s="1">
        <f t="shared" si="3"/>
        <v>0.68762497222839369</v>
      </c>
      <c r="N23" s="1">
        <f t="shared" si="1"/>
        <v>0.67807153965785372</v>
      </c>
    </row>
    <row r="24" spans="1:14" x14ac:dyDescent="0.2">
      <c r="A24">
        <v>100</v>
      </c>
      <c r="B24">
        <v>542.29999999999995</v>
      </c>
      <c r="C24">
        <v>193.4</v>
      </c>
      <c r="D24">
        <v>524.6</v>
      </c>
      <c r="E24">
        <v>188.5</v>
      </c>
      <c r="F24">
        <v>361.8</v>
      </c>
      <c r="G24">
        <v>113.6</v>
      </c>
      <c r="H24">
        <v>358.5</v>
      </c>
      <c r="I24">
        <v>113.8</v>
      </c>
      <c r="J24" s="1">
        <f t="shared" si="0"/>
        <v>0.60371352785145882</v>
      </c>
      <c r="K24">
        <v>1</v>
      </c>
      <c r="L24" s="1">
        <f t="shared" si="2"/>
        <v>0.96736123916651318</v>
      </c>
      <c r="M24" s="1">
        <f t="shared" si="3"/>
        <v>0.66715839940992083</v>
      </c>
      <c r="N24" s="1">
        <f t="shared" si="1"/>
        <v>0.66107320671215197</v>
      </c>
    </row>
    <row r="25" spans="1:14" x14ac:dyDescent="0.2">
      <c r="A25">
        <v>120</v>
      </c>
      <c r="B25">
        <v>630.79999999999995</v>
      </c>
      <c r="C25">
        <v>237.3</v>
      </c>
      <c r="D25">
        <v>612</v>
      </c>
      <c r="E25">
        <v>233.8</v>
      </c>
      <c r="F25">
        <v>415.1</v>
      </c>
      <c r="G25">
        <v>139</v>
      </c>
      <c r="H25">
        <v>410.3</v>
      </c>
      <c r="I25">
        <v>136.5</v>
      </c>
      <c r="J25" s="1">
        <f t="shared" si="0"/>
        <v>0.58383233532934131</v>
      </c>
      <c r="K25">
        <v>1</v>
      </c>
      <c r="L25" s="1">
        <f t="shared" si="2"/>
        <v>0.97019657577679141</v>
      </c>
      <c r="M25" s="1">
        <f t="shared" si="3"/>
        <v>0.6580532656943564</v>
      </c>
      <c r="N25" s="1">
        <f t="shared" si="1"/>
        <v>0.65044388078630322</v>
      </c>
    </row>
    <row r="26" spans="1:14" x14ac:dyDescent="0.2">
      <c r="A26">
        <v>140</v>
      </c>
      <c r="B26">
        <v>722.7</v>
      </c>
      <c r="C26">
        <v>312.60000000000002</v>
      </c>
      <c r="D26">
        <v>698.5</v>
      </c>
      <c r="E26">
        <v>303.3</v>
      </c>
      <c r="F26">
        <v>463.3</v>
      </c>
      <c r="G26">
        <v>175.9</v>
      </c>
      <c r="H26">
        <v>462.1</v>
      </c>
      <c r="I26">
        <v>175.2</v>
      </c>
      <c r="J26" s="1">
        <f t="shared" si="0"/>
        <v>0.57764589515331344</v>
      </c>
      <c r="K26">
        <v>1</v>
      </c>
      <c r="L26" s="1">
        <f t="shared" si="2"/>
        <v>0.96651445966514449</v>
      </c>
      <c r="M26" s="1">
        <f t="shared" si="3"/>
        <v>0.64106821641068212</v>
      </c>
      <c r="N26" s="1">
        <f t="shared" si="1"/>
        <v>0.63940777639407775</v>
      </c>
    </row>
    <row r="27" spans="1:14" x14ac:dyDescent="0.2">
      <c r="A27">
        <v>160</v>
      </c>
      <c r="B27">
        <v>804.3</v>
      </c>
      <c r="C27">
        <v>408.8</v>
      </c>
      <c r="D27">
        <v>784.9</v>
      </c>
      <c r="E27">
        <v>401.5</v>
      </c>
      <c r="F27">
        <v>512.79999999999995</v>
      </c>
      <c r="G27">
        <v>229.6</v>
      </c>
      <c r="H27">
        <v>509.2</v>
      </c>
      <c r="I27">
        <v>226.5</v>
      </c>
      <c r="J27" s="1">
        <f t="shared" si="0"/>
        <v>0.56413449564134499</v>
      </c>
      <c r="K27">
        <v>1</v>
      </c>
      <c r="L27" s="1">
        <f t="shared" si="2"/>
        <v>0.97587964689792372</v>
      </c>
      <c r="M27" s="1">
        <f t="shared" si="3"/>
        <v>0.63757304488374977</v>
      </c>
      <c r="N27" s="1">
        <f t="shared" si="1"/>
        <v>0.63309710307099343</v>
      </c>
    </row>
    <row r="28" spans="1:14" x14ac:dyDescent="0.2">
      <c r="A28">
        <v>180</v>
      </c>
      <c r="B28">
        <v>893.2</v>
      </c>
      <c r="C28">
        <v>522.6</v>
      </c>
      <c r="D28">
        <v>871.4</v>
      </c>
      <c r="E28">
        <v>514.5</v>
      </c>
      <c r="F28">
        <v>561</v>
      </c>
      <c r="G28">
        <v>287.89999999999998</v>
      </c>
      <c r="H28">
        <v>559.6</v>
      </c>
      <c r="I28">
        <v>286.2</v>
      </c>
      <c r="J28" s="1">
        <f t="shared" si="0"/>
        <v>0.55626822157434397</v>
      </c>
      <c r="K28">
        <v>1</v>
      </c>
      <c r="L28" s="1">
        <f t="shared" si="2"/>
        <v>0.97559337214509623</v>
      </c>
      <c r="M28" s="1">
        <f t="shared" si="3"/>
        <v>0.6280788177339901</v>
      </c>
      <c r="N28" s="1">
        <f t="shared" si="1"/>
        <v>0.62651141961486789</v>
      </c>
    </row>
    <row r="29" spans="1:14" x14ac:dyDescent="0.2">
      <c r="A29">
        <v>200</v>
      </c>
      <c r="B29">
        <v>979.1</v>
      </c>
      <c r="C29">
        <v>636.29999999999995</v>
      </c>
      <c r="D29">
        <v>956.9</v>
      </c>
      <c r="E29">
        <v>629.70000000000005</v>
      </c>
      <c r="F29">
        <v>605.79999999999995</v>
      </c>
      <c r="G29">
        <v>342.7</v>
      </c>
      <c r="H29">
        <v>603.79999999999995</v>
      </c>
      <c r="I29">
        <v>339.3</v>
      </c>
      <c r="J29" s="1">
        <f t="shared" si="0"/>
        <v>0.53882801333968555</v>
      </c>
      <c r="K29">
        <v>1</v>
      </c>
      <c r="L29" s="1">
        <f t="shared" si="2"/>
        <v>0.97732611582065154</v>
      </c>
      <c r="M29" s="1">
        <f t="shared" si="3"/>
        <v>0.61873148810131751</v>
      </c>
      <c r="N29" s="1">
        <f t="shared" si="1"/>
        <v>0.6166887958329077</v>
      </c>
    </row>
    <row r="30" spans="1:14" x14ac:dyDescent="0.2">
      <c r="A30">
        <v>300</v>
      </c>
      <c r="B30">
        <v>1405.6</v>
      </c>
      <c r="C30">
        <v>1531.9</v>
      </c>
      <c r="D30">
        <v>1365.9</v>
      </c>
      <c r="E30">
        <v>1491.6</v>
      </c>
      <c r="F30">
        <v>830</v>
      </c>
      <c r="G30">
        <v>751.3</v>
      </c>
      <c r="H30">
        <v>824.3</v>
      </c>
      <c r="I30">
        <v>743.7</v>
      </c>
      <c r="J30" s="1">
        <f t="shared" si="0"/>
        <v>0.49859211584875307</v>
      </c>
      <c r="K30">
        <v>1</v>
      </c>
      <c r="L30" s="1">
        <f t="shared" ref="L30:L49" si="4">D30/B30</f>
        <v>0.97175583380762676</v>
      </c>
      <c r="M30" s="1">
        <f t="shared" ref="M30:M49" si="5">F30/B30</f>
        <v>0.59049516220830967</v>
      </c>
      <c r="N30" s="1">
        <f t="shared" ref="N30:N49" si="6">H30/B30</f>
        <v>0.58643995446784292</v>
      </c>
    </row>
    <row r="31" spans="1:14" x14ac:dyDescent="0.2">
      <c r="A31">
        <v>400</v>
      </c>
      <c r="B31">
        <v>1804.5</v>
      </c>
      <c r="C31">
        <v>2770.4</v>
      </c>
      <c r="D31">
        <v>1763.4</v>
      </c>
      <c r="E31">
        <v>2709.1</v>
      </c>
      <c r="F31">
        <v>1030.5999999999999</v>
      </c>
      <c r="G31">
        <v>1248.3</v>
      </c>
      <c r="H31">
        <v>1027.7</v>
      </c>
      <c r="I31">
        <v>1242.8</v>
      </c>
      <c r="J31" s="1">
        <f t="shared" si="0"/>
        <v>0.45875013842235429</v>
      </c>
      <c r="K31">
        <v>1</v>
      </c>
      <c r="L31" s="1">
        <f t="shared" si="4"/>
        <v>0.9772236076475479</v>
      </c>
      <c r="M31" s="1">
        <f t="shared" si="5"/>
        <v>0.571127736215018</v>
      </c>
      <c r="N31" s="1">
        <f t="shared" si="6"/>
        <v>0.56952064283735104</v>
      </c>
    </row>
    <row r="32" spans="1:14" x14ac:dyDescent="0.2">
      <c r="A32">
        <v>500</v>
      </c>
      <c r="B32">
        <v>2213.1999999999998</v>
      </c>
      <c r="C32">
        <v>4515.8</v>
      </c>
      <c r="D32">
        <v>2158.9</v>
      </c>
      <c r="E32">
        <v>4437.7</v>
      </c>
      <c r="F32">
        <v>1223.5999999999999</v>
      </c>
      <c r="G32">
        <v>1881.4</v>
      </c>
      <c r="H32">
        <v>1223.3</v>
      </c>
      <c r="I32">
        <v>1875.7</v>
      </c>
      <c r="J32" s="1">
        <f t="shared" si="0"/>
        <v>0.42267390765486629</v>
      </c>
      <c r="K32">
        <v>1</v>
      </c>
      <c r="L32" s="1">
        <f t="shared" si="4"/>
        <v>0.97546538948129413</v>
      </c>
      <c r="M32" s="1">
        <f t="shared" si="5"/>
        <v>0.55286463039942169</v>
      </c>
      <c r="N32" s="1">
        <f t="shared" si="6"/>
        <v>0.55272908006506416</v>
      </c>
    </row>
    <row r="33" spans="1:14" x14ac:dyDescent="0.2">
      <c r="A33">
        <v>600</v>
      </c>
      <c r="B33">
        <v>2617.8000000000002</v>
      </c>
      <c r="C33">
        <v>6729.7</v>
      </c>
      <c r="D33">
        <v>2552.8000000000002</v>
      </c>
      <c r="E33">
        <v>6602.9</v>
      </c>
      <c r="F33">
        <v>1412.5</v>
      </c>
      <c r="G33">
        <v>2589.6999999999998</v>
      </c>
      <c r="H33">
        <v>1410.1</v>
      </c>
      <c r="I33">
        <v>2584.8000000000002</v>
      </c>
      <c r="J33" s="1">
        <f t="shared" si="0"/>
        <v>0.3914643565705978</v>
      </c>
      <c r="K33">
        <v>1</v>
      </c>
      <c r="L33" s="1">
        <f t="shared" si="4"/>
        <v>0.97516999006799598</v>
      </c>
      <c r="M33" s="1">
        <f t="shared" si="5"/>
        <v>0.53957521583008627</v>
      </c>
      <c r="N33" s="1">
        <f t="shared" si="6"/>
        <v>0.53865841546336612</v>
      </c>
    </row>
    <row r="34" spans="1:14" x14ac:dyDescent="0.2">
      <c r="A34">
        <v>700</v>
      </c>
      <c r="B34">
        <v>3017.2</v>
      </c>
      <c r="C34">
        <v>10172.4</v>
      </c>
      <c r="D34">
        <v>2926</v>
      </c>
      <c r="E34">
        <v>9937.4</v>
      </c>
      <c r="F34">
        <v>1589</v>
      </c>
      <c r="G34">
        <v>3655.7</v>
      </c>
      <c r="H34">
        <v>1585.9</v>
      </c>
      <c r="I34">
        <v>3635.7</v>
      </c>
      <c r="J34" s="1">
        <f t="shared" si="0"/>
        <v>0.3658602853865196</v>
      </c>
      <c r="K34">
        <v>1</v>
      </c>
      <c r="L34" s="1">
        <f t="shared" si="4"/>
        <v>0.96977329974811088</v>
      </c>
      <c r="M34" s="1">
        <f t="shared" si="5"/>
        <v>0.52664722259048125</v>
      </c>
      <c r="N34" s="1">
        <f t="shared" si="6"/>
        <v>0.52561977992841047</v>
      </c>
    </row>
    <row r="35" spans="1:14" x14ac:dyDescent="0.2">
      <c r="A35">
        <v>800</v>
      </c>
      <c r="B35">
        <v>3397</v>
      </c>
      <c r="C35">
        <v>13489.7</v>
      </c>
      <c r="D35">
        <v>3300.7</v>
      </c>
      <c r="E35">
        <v>13194</v>
      </c>
      <c r="F35">
        <v>1755.9</v>
      </c>
      <c r="G35">
        <v>4522.2</v>
      </c>
      <c r="H35">
        <v>1755.2</v>
      </c>
      <c r="I35">
        <v>4523</v>
      </c>
      <c r="J35" s="1">
        <f t="shared" si="0"/>
        <v>0.34280733666818253</v>
      </c>
      <c r="K35">
        <v>1</v>
      </c>
      <c r="L35" s="1">
        <f t="shared" si="4"/>
        <v>0.97165145716808943</v>
      </c>
      <c r="M35" s="1">
        <f t="shared" si="5"/>
        <v>0.51689726229025612</v>
      </c>
      <c r="N35" s="1">
        <f t="shared" si="6"/>
        <v>0.51669119811598474</v>
      </c>
    </row>
    <row r="36" spans="1:14" x14ac:dyDescent="0.2">
      <c r="A36">
        <v>900</v>
      </c>
      <c r="B36">
        <v>3761.4</v>
      </c>
      <c r="C36">
        <v>16742.7</v>
      </c>
      <c r="D36">
        <v>3661.7</v>
      </c>
      <c r="E36">
        <v>16424.7</v>
      </c>
      <c r="F36">
        <v>1918.8</v>
      </c>
      <c r="G36">
        <v>5322.5</v>
      </c>
      <c r="H36">
        <v>1916.6</v>
      </c>
      <c r="I36">
        <v>5285.1</v>
      </c>
      <c r="J36" s="1">
        <f t="shared" si="0"/>
        <v>0.32177756671354729</v>
      </c>
      <c r="K36">
        <v>1</v>
      </c>
      <c r="L36" s="1">
        <f t="shared" si="4"/>
        <v>0.9734939118413356</v>
      </c>
      <c r="M36" s="1">
        <f t="shared" si="5"/>
        <v>0.51012920721008137</v>
      </c>
      <c r="N36" s="1">
        <f t="shared" si="6"/>
        <v>0.50954431860477478</v>
      </c>
    </row>
    <row r="37" spans="1:14" x14ac:dyDescent="0.2">
      <c r="A37">
        <v>1000</v>
      </c>
      <c r="B37">
        <v>4137.8999999999996</v>
      </c>
      <c r="C37">
        <v>21099.200000000001</v>
      </c>
      <c r="D37">
        <v>4023.6</v>
      </c>
      <c r="E37">
        <v>20583.900000000001</v>
      </c>
      <c r="F37">
        <v>2073.4</v>
      </c>
      <c r="G37">
        <v>6275</v>
      </c>
      <c r="H37">
        <v>2071.1999999999998</v>
      </c>
      <c r="I37">
        <v>6270.5</v>
      </c>
      <c r="J37" s="1">
        <f t="shared" si="0"/>
        <v>0.30463128950296103</v>
      </c>
      <c r="K37">
        <v>1</v>
      </c>
      <c r="L37" s="1">
        <f t="shared" si="4"/>
        <v>0.97237729282969632</v>
      </c>
      <c r="M37" s="1">
        <f t="shared" si="5"/>
        <v>0.50107542473235223</v>
      </c>
      <c r="N37" s="1">
        <f t="shared" si="6"/>
        <v>0.50054375407815554</v>
      </c>
    </row>
    <row r="38" spans="1:14" x14ac:dyDescent="0.2">
      <c r="A38">
        <v>1100</v>
      </c>
      <c r="B38">
        <v>4500.8999999999996</v>
      </c>
      <c r="C38">
        <v>25456</v>
      </c>
      <c r="D38">
        <v>4382.7</v>
      </c>
      <c r="E38">
        <v>24909</v>
      </c>
      <c r="F38">
        <v>2233.1</v>
      </c>
      <c r="G38">
        <v>7179.1</v>
      </c>
      <c r="H38">
        <v>2225.8000000000002</v>
      </c>
      <c r="I38">
        <v>7180.7</v>
      </c>
      <c r="J38" s="1">
        <f t="shared" si="0"/>
        <v>0.28827732947930468</v>
      </c>
      <c r="K38">
        <v>1</v>
      </c>
      <c r="L38" s="1">
        <f t="shared" si="4"/>
        <v>0.97373858561621018</v>
      </c>
      <c r="M38" s="1">
        <f t="shared" si="5"/>
        <v>0.49614521540136419</v>
      </c>
      <c r="N38" s="1">
        <f t="shared" si="6"/>
        <v>0.49452331755871054</v>
      </c>
    </row>
    <row r="39" spans="1:14" x14ac:dyDescent="0.2">
      <c r="A39">
        <v>1200</v>
      </c>
      <c r="B39">
        <v>4841.2</v>
      </c>
      <c r="C39">
        <v>26687.1</v>
      </c>
      <c r="D39">
        <v>4736.3</v>
      </c>
      <c r="E39">
        <v>26202.7</v>
      </c>
      <c r="F39">
        <v>2379</v>
      </c>
      <c r="G39">
        <v>7175.6</v>
      </c>
      <c r="H39">
        <v>2375</v>
      </c>
      <c r="I39">
        <v>7150.2</v>
      </c>
      <c r="J39" s="1">
        <f t="shared" si="0"/>
        <v>0.27288027569677931</v>
      </c>
      <c r="K39">
        <v>1</v>
      </c>
      <c r="L39" s="1">
        <f t="shared" si="4"/>
        <v>0.97833181855738249</v>
      </c>
      <c r="M39" s="1">
        <f t="shared" si="5"/>
        <v>0.49140708915145009</v>
      </c>
      <c r="N39" s="1">
        <f t="shared" si="6"/>
        <v>0.49058084772370486</v>
      </c>
    </row>
    <row r="40" spans="1:14" x14ac:dyDescent="0.2">
      <c r="A40">
        <v>1300</v>
      </c>
      <c r="B40">
        <v>5194.8999999999996</v>
      </c>
      <c r="C40">
        <v>34106.699999999997</v>
      </c>
      <c r="D40">
        <v>5083.5</v>
      </c>
      <c r="E40">
        <v>33556.1</v>
      </c>
      <c r="F40">
        <v>2520.9</v>
      </c>
      <c r="G40">
        <v>8729.4</v>
      </c>
      <c r="H40">
        <v>2516.6</v>
      </c>
      <c r="I40">
        <v>8707.7999999999993</v>
      </c>
      <c r="J40" s="1">
        <f t="shared" si="0"/>
        <v>0.25949976308331418</v>
      </c>
      <c r="K40">
        <v>1</v>
      </c>
      <c r="L40" s="1">
        <f t="shared" si="4"/>
        <v>0.97855589135498289</v>
      </c>
      <c r="M40" s="1">
        <f t="shared" si="5"/>
        <v>0.48526439392481091</v>
      </c>
      <c r="N40" s="1">
        <f t="shared" si="6"/>
        <v>0.48443665903097272</v>
      </c>
    </row>
    <row r="41" spans="1:14" x14ac:dyDescent="0.2">
      <c r="A41">
        <v>1400</v>
      </c>
      <c r="B41">
        <v>5564.8</v>
      </c>
      <c r="C41">
        <v>40561.599999999999</v>
      </c>
      <c r="D41">
        <v>5422.2</v>
      </c>
      <c r="E41">
        <v>39566.9</v>
      </c>
      <c r="F41">
        <v>2662.6</v>
      </c>
      <c r="G41">
        <v>9873.9</v>
      </c>
      <c r="H41">
        <v>2663.6</v>
      </c>
      <c r="I41">
        <v>9864</v>
      </c>
      <c r="J41" s="1">
        <f t="shared" si="0"/>
        <v>0.2492992880412668</v>
      </c>
      <c r="K41">
        <v>1</v>
      </c>
      <c r="L41" s="1">
        <f t="shared" si="4"/>
        <v>0.97437464059804479</v>
      </c>
      <c r="M41" s="1">
        <f t="shared" si="5"/>
        <v>0.47847182288671647</v>
      </c>
      <c r="N41" s="1">
        <f t="shared" si="6"/>
        <v>0.47865152386428977</v>
      </c>
    </row>
    <row r="42" spans="1:14" x14ac:dyDescent="0.2">
      <c r="A42">
        <v>1500</v>
      </c>
      <c r="B42">
        <v>5909.4</v>
      </c>
      <c r="C42">
        <v>44855</v>
      </c>
      <c r="D42">
        <v>5767.5</v>
      </c>
      <c r="E42">
        <v>44025.8</v>
      </c>
      <c r="F42">
        <v>2802.8</v>
      </c>
      <c r="G42">
        <v>10490.3</v>
      </c>
      <c r="H42">
        <v>2802.9</v>
      </c>
      <c r="I42">
        <v>10475.9</v>
      </c>
      <c r="J42" s="1">
        <f t="shared" si="0"/>
        <v>0.23794911165725549</v>
      </c>
      <c r="K42">
        <v>1</v>
      </c>
      <c r="L42" s="1">
        <f t="shared" si="4"/>
        <v>0.97598740988932897</v>
      </c>
      <c r="M42" s="1">
        <f t="shared" si="5"/>
        <v>0.47429519071310122</v>
      </c>
      <c r="N42" s="1">
        <f t="shared" si="6"/>
        <v>0.47431211290486347</v>
      </c>
    </row>
    <row r="43" spans="1:14" x14ac:dyDescent="0.2">
      <c r="A43">
        <v>1600</v>
      </c>
      <c r="B43">
        <v>6249.2</v>
      </c>
      <c r="C43">
        <v>51777.7</v>
      </c>
      <c r="D43">
        <v>6105.5</v>
      </c>
      <c r="E43">
        <v>50729.9</v>
      </c>
      <c r="F43">
        <v>2936.6</v>
      </c>
      <c r="G43">
        <v>11556.7</v>
      </c>
      <c r="H43">
        <v>2937.1</v>
      </c>
      <c r="I43">
        <v>11561.1</v>
      </c>
      <c r="J43" s="1">
        <f t="shared" si="0"/>
        <v>0.22789518607369619</v>
      </c>
      <c r="K43">
        <v>1</v>
      </c>
      <c r="L43" s="1">
        <f t="shared" si="4"/>
        <v>0.9770050566472509</v>
      </c>
      <c r="M43" s="1">
        <f t="shared" si="5"/>
        <v>0.46991614926710618</v>
      </c>
      <c r="N43" s="1">
        <f t="shared" si="6"/>
        <v>0.46999615950841706</v>
      </c>
    </row>
    <row r="44" spans="1:14" x14ac:dyDescent="0.2">
      <c r="A44">
        <v>1700</v>
      </c>
      <c r="B44">
        <v>6587</v>
      </c>
      <c r="C44">
        <v>62092.3</v>
      </c>
      <c r="D44">
        <v>6443.3</v>
      </c>
      <c r="E44">
        <v>60917.3</v>
      </c>
      <c r="F44">
        <v>3080</v>
      </c>
      <c r="G44">
        <v>13375.8</v>
      </c>
      <c r="H44">
        <v>3072.1</v>
      </c>
      <c r="I44">
        <v>13346.7</v>
      </c>
      <c r="J44" s="1">
        <f t="shared" si="0"/>
        <v>0.21909539654580884</v>
      </c>
      <c r="K44">
        <v>1</v>
      </c>
      <c r="L44" s="1">
        <f t="shared" si="4"/>
        <v>0.97818430241384546</v>
      </c>
      <c r="M44" s="1">
        <f t="shared" si="5"/>
        <v>0.46758767268862911</v>
      </c>
      <c r="N44" s="1">
        <f t="shared" si="6"/>
        <v>0.46638834067101864</v>
      </c>
    </row>
    <row r="45" spans="1:14" x14ac:dyDescent="0.2">
      <c r="A45">
        <v>1800</v>
      </c>
      <c r="B45">
        <v>6950.1</v>
      </c>
      <c r="C45">
        <v>69835.5</v>
      </c>
      <c r="D45">
        <v>6790.2</v>
      </c>
      <c r="E45">
        <v>68502.399999999994</v>
      </c>
      <c r="F45">
        <v>3208.8</v>
      </c>
      <c r="G45">
        <v>14375.2</v>
      </c>
      <c r="H45">
        <v>3207.5</v>
      </c>
      <c r="I45">
        <v>14392.7</v>
      </c>
      <c r="J45" s="1">
        <f t="shared" si="0"/>
        <v>0.2101050474143972</v>
      </c>
      <c r="K45">
        <v>1</v>
      </c>
      <c r="L45" s="1">
        <f t="shared" si="4"/>
        <v>0.97699313678939859</v>
      </c>
      <c r="M45" s="1">
        <f t="shared" si="5"/>
        <v>0.46169119868778868</v>
      </c>
      <c r="N45" s="1">
        <f t="shared" si="6"/>
        <v>0.46150415101940978</v>
      </c>
    </row>
    <row r="46" spans="1:14" x14ac:dyDescent="0.2">
      <c r="A46">
        <v>1900</v>
      </c>
      <c r="B46">
        <v>7262.3</v>
      </c>
      <c r="D46">
        <v>7093.4</v>
      </c>
      <c r="F46">
        <v>3328.7</v>
      </c>
      <c r="H46">
        <v>3336.4</v>
      </c>
      <c r="J46" s="1"/>
      <c r="K46">
        <v>1</v>
      </c>
      <c r="L46" s="1">
        <f t="shared" si="4"/>
        <v>0.97674290514024475</v>
      </c>
      <c r="M46" s="1">
        <f t="shared" si="5"/>
        <v>0.45835341420762016</v>
      </c>
      <c r="N46" s="1">
        <f t="shared" si="6"/>
        <v>0.45941368436996544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4AF18-DC9C-354F-A209-AC7A16E07DBB}">
  <dimension ref="A1:N49"/>
  <sheetViews>
    <sheetView tabSelected="1" workbookViewId="0">
      <selection activeCell="F24" sqref="F24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67</v>
      </c>
      <c r="K1" t="s">
        <v>60</v>
      </c>
      <c r="L1" t="s">
        <v>61</v>
      </c>
      <c r="M1" t="s">
        <v>5</v>
      </c>
      <c r="N1" t="s">
        <v>57</v>
      </c>
    </row>
    <row r="2" spans="1:14" x14ac:dyDescent="0.2">
      <c r="A2">
        <v>2</v>
      </c>
      <c r="B2">
        <v>17.399999999999999</v>
      </c>
      <c r="C2">
        <v>3.2</v>
      </c>
      <c r="D2">
        <v>14.5</v>
      </c>
      <c r="E2">
        <v>3</v>
      </c>
      <c r="F2">
        <v>23.5</v>
      </c>
      <c r="G2">
        <v>4.4000000000000004</v>
      </c>
      <c r="H2">
        <v>13.8</v>
      </c>
      <c r="I2">
        <v>4</v>
      </c>
      <c r="J2" s="1">
        <f t="shared" ref="J2:J46" si="0">I2/E2</f>
        <v>1.3333333333333333</v>
      </c>
      <c r="K2">
        <v>1</v>
      </c>
      <c r="L2" s="1">
        <f>D2/B2</f>
        <v>0.83333333333333337</v>
      </c>
      <c r="M2" s="1">
        <f>F2/B2</f>
        <v>1.3505747126436782</v>
      </c>
      <c r="N2" s="1">
        <f t="shared" ref="N2:N46" si="1">H2/B2</f>
        <v>0.79310344827586221</v>
      </c>
    </row>
    <row r="3" spans="1:14" x14ac:dyDescent="0.2">
      <c r="A3">
        <v>4</v>
      </c>
      <c r="B3">
        <v>33.799999999999997</v>
      </c>
      <c r="C3">
        <v>4.8</v>
      </c>
      <c r="D3">
        <v>32.6</v>
      </c>
      <c r="E3">
        <v>4.7</v>
      </c>
      <c r="F3">
        <v>37.6</v>
      </c>
      <c r="G3">
        <v>5.8</v>
      </c>
      <c r="H3">
        <v>29.2</v>
      </c>
      <c r="I3">
        <v>5.0999999999999996</v>
      </c>
      <c r="J3" s="1">
        <f t="shared" si="0"/>
        <v>1.0851063829787233</v>
      </c>
      <c r="K3">
        <v>1</v>
      </c>
      <c r="L3" s="1">
        <f t="shared" ref="L3:L46" si="2">D3/B3</f>
        <v>0.96449704142011849</v>
      </c>
      <c r="M3" s="1">
        <f t="shared" ref="M3:M46" si="3">F3/B3</f>
        <v>1.1124260355029587</v>
      </c>
      <c r="N3" s="1">
        <f t="shared" si="1"/>
        <v>0.86390532544378706</v>
      </c>
    </row>
    <row r="4" spans="1:14" x14ac:dyDescent="0.2">
      <c r="A4">
        <v>6</v>
      </c>
      <c r="B4">
        <v>47.9</v>
      </c>
      <c r="C4">
        <v>6.4</v>
      </c>
      <c r="D4">
        <v>46.8</v>
      </c>
      <c r="E4">
        <v>6.5</v>
      </c>
      <c r="F4">
        <v>46.9</v>
      </c>
      <c r="G4">
        <v>6.6</v>
      </c>
      <c r="H4">
        <v>42.9</v>
      </c>
      <c r="I4">
        <v>6.2</v>
      </c>
      <c r="J4" s="1">
        <f t="shared" si="0"/>
        <v>0.9538461538461539</v>
      </c>
      <c r="K4">
        <v>1</v>
      </c>
      <c r="L4" s="1">
        <f t="shared" si="2"/>
        <v>0.97703549060542794</v>
      </c>
      <c r="M4" s="1">
        <f t="shared" si="3"/>
        <v>0.97912317327766174</v>
      </c>
      <c r="N4" s="1">
        <f t="shared" si="1"/>
        <v>0.89561586638830892</v>
      </c>
    </row>
    <row r="5" spans="1:14" x14ac:dyDescent="0.2">
      <c r="A5">
        <v>8</v>
      </c>
      <c r="B5">
        <v>57.7</v>
      </c>
      <c r="C5">
        <v>8.1</v>
      </c>
      <c r="D5">
        <v>57.7</v>
      </c>
      <c r="E5">
        <v>7.8</v>
      </c>
      <c r="F5">
        <v>57.1</v>
      </c>
      <c r="G5">
        <v>7.6</v>
      </c>
      <c r="H5">
        <v>53</v>
      </c>
      <c r="I5">
        <v>7.3</v>
      </c>
      <c r="J5" s="1">
        <f t="shared" si="0"/>
        <v>0.9358974358974359</v>
      </c>
      <c r="K5">
        <v>1</v>
      </c>
      <c r="L5" s="1">
        <f t="shared" si="2"/>
        <v>1</v>
      </c>
      <c r="M5" s="1">
        <f t="shared" si="3"/>
        <v>0.9896013864818024</v>
      </c>
      <c r="N5" s="1">
        <f t="shared" si="1"/>
        <v>0.91854419410745225</v>
      </c>
    </row>
    <row r="6" spans="1:14" x14ac:dyDescent="0.2">
      <c r="A6">
        <v>10</v>
      </c>
      <c r="B6">
        <v>65.099999999999994</v>
      </c>
      <c r="C6">
        <v>9.5</v>
      </c>
      <c r="D6">
        <v>65</v>
      </c>
      <c r="E6">
        <v>9.6</v>
      </c>
      <c r="F6">
        <v>62.7</v>
      </c>
      <c r="G6">
        <v>8.5</v>
      </c>
      <c r="H6">
        <v>59</v>
      </c>
      <c r="I6">
        <v>8.1</v>
      </c>
      <c r="J6" s="1">
        <f t="shared" si="0"/>
        <v>0.84375</v>
      </c>
      <c r="K6">
        <v>1</v>
      </c>
      <c r="L6" s="1">
        <f t="shared" si="2"/>
        <v>0.99846390168970822</v>
      </c>
      <c r="M6" s="1">
        <f t="shared" si="3"/>
        <v>0.96313364055299555</v>
      </c>
      <c r="N6" s="1">
        <f t="shared" si="1"/>
        <v>0.90629800307219666</v>
      </c>
    </row>
    <row r="7" spans="1:14" x14ac:dyDescent="0.2">
      <c r="A7">
        <v>12</v>
      </c>
      <c r="B7">
        <v>71.599999999999994</v>
      </c>
      <c r="C7">
        <v>11</v>
      </c>
      <c r="D7">
        <v>72.5</v>
      </c>
      <c r="E7">
        <v>10.7</v>
      </c>
      <c r="F7">
        <v>69</v>
      </c>
      <c r="G7">
        <v>9.1999999999999993</v>
      </c>
      <c r="H7">
        <v>65.900000000000006</v>
      </c>
      <c r="I7">
        <v>8.8000000000000007</v>
      </c>
      <c r="J7" s="1">
        <f t="shared" si="0"/>
        <v>0.82242990654205617</v>
      </c>
      <c r="K7">
        <v>1</v>
      </c>
      <c r="L7" s="1">
        <f t="shared" si="2"/>
        <v>1.0125698324022347</v>
      </c>
      <c r="M7" s="1">
        <f t="shared" si="3"/>
        <v>0.96368715083798895</v>
      </c>
      <c r="N7" s="1">
        <f t="shared" si="1"/>
        <v>0.92039106145251415</v>
      </c>
    </row>
    <row r="8" spans="1:14" x14ac:dyDescent="0.2">
      <c r="A8">
        <v>14</v>
      </c>
      <c r="B8">
        <v>77.7</v>
      </c>
      <c r="C8">
        <v>13</v>
      </c>
      <c r="D8">
        <v>78</v>
      </c>
      <c r="E8">
        <v>12.8</v>
      </c>
      <c r="F8">
        <v>74.3</v>
      </c>
      <c r="G8">
        <v>10.3</v>
      </c>
      <c r="H8">
        <v>70.400000000000006</v>
      </c>
      <c r="I8">
        <v>9.8000000000000007</v>
      </c>
      <c r="J8" s="1">
        <f t="shared" si="0"/>
        <v>0.765625</v>
      </c>
      <c r="K8">
        <v>1</v>
      </c>
      <c r="L8" s="1">
        <f t="shared" si="2"/>
        <v>1.0038610038610039</v>
      </c>
      <c r="M8" s="1">
        <f t="shared" si="3"/>
        <v>0.95624195624195618</v>
      </c>
      <c r="N8" s="1">
        <f t="shared" si="1"/>
        <v>0.90604890604890609</v>
      </c>
    </row>
    <row r="9" spans="1:14" x14ac:dyDescent="0.2">
      <c r="A9">
        <v>16</v>
      </c>
      <c r="B9">
        <v>84.2</v>
      </c>
      <c r="C9">
        <v>15.1</v>
      </c>
      <c r="D9">
        <v>85.9</v>
      </c>
      <c r="E9">
        <v>14.6</v>
      </c>
      <c r="F9">
        <v>80.400000000000006</v>
      </c>
      <c r="G9">
        <v>11.7</v>
      </c>
      <c r="H9">
        <v>77.5</v>
      </c>
      <c r="I9">
        <v>11.5</v>
      </c>
      <c r="J9" s="1">
        <f t="shared" si="0"/>
        <v>0.78767123287671237</v>
      </c>
      <c r="K9">
        <v>1</v>
      </c>
      <c r="L9" s="1">
        <f t="shared" si="2"/>
        <v>1.0201900237529691</v>
      </c>
      <c r="M9" s="1">
        <f t="shared" si="3"/>
        <v>0.9548693586698338</v>
      </c>
      <c r="N9" s="1">
        <f t="shared" si="1"/>
        <v>0.92042755344418048</v>
      </c>
    </row>
    <row r="10" spans="1:14" x14ac:dyDescent="0.2">
      <c r="A10">
        <v>18</v>
      </c>
      <c r="B10">
        <v>89.9</v>
      </c>
      <c r="C10">
        <v>16.899999999999999</v>
      </c>
      <c r="D10">
        <v>90.8</v>
      </c>
      <c r="E10">
        <v>16.3</v>
      </c>
      <c r="F10">
        <v>84.8</v>
      </c>
      <c r="G10">
        <v>13.3</v>
      </c>
      <c r="H10">
        <v>81.400000000000006</v>
      </c>
      <c r="I10">
        <v>12.5</v>
      </c>
      <c r="J10" s="1">
        <f t="shared" si="0"/>
        <v>0.76687116564417179</v>
      </c>
      <c r="K10">
        <v>1</v>
      </c>
      <c r="L10" s="1">
        <f t="shared" si="2"/>
        <v>1.0100111234705227</v>
      </c>
      <c r="M10" s="1">
        <f t="shared" si="3"/>
        <v>0.94327030033370407</v>
      </c>
      <c r="N10" s="1">
        <f t="shared" si="1"/>
        <v>0.90545050055617349</v>
      </c>
    </row>
    <row r="11" spans="1:14" x14ac:dyDescent="0.2">
      <c r="A11">
        <v>20</v>
      </c>
      <c r="B11">
        <v>96.1</v>
      </c>
      <c r="C11">
        <v>18.7</v>
      </c>
      <c r="D11">
        <v>96.6</v>
      </c>
      <c r="E11">
        <v>18.3</v>
      </c>
      <c r="F11">
        <v>88.9</v>
      </c>
      <c r="G11">
        <v>14</v>
      </c>
      <c r="H11">
        <v>87.4</v>
      </c>
      <c r="I11">
        <v>13.7</v>
      </c>
      <c r="J11" s="1">
        <f t="shared" si="0"/>
        <v>0.74863387978142071</v>
      </c>
      <c r="K11">
        <v>1</v>
      </c>
      <c r="L11" s="1">
        <f t="shared" si="2"/>
        <v>1.0052029136316336</v>
      </c>
      <c r="M11" s="1">
        <f t="shared" si="3"/>
        <v>0.92507804370447466</v>
      </c>
      <c r="N11" s="1">
        <f t="shared" si="1"/>
        <v>0.9094693028095735</v>
      </c>
    </row>
    <row r="12" spans="1:14" x14ac:dyDescent="0.2">
      <c r="A12">
        <v>22</v>
      </c>
      <c r="B12">
        <v>100.2</v>
      </c>
      <c r="C12">
        <v>21.4</v>
      </c>
      <c r="D12">
        <v>101.5</v>
      </c>
      <c r="E12">
        <v>20.3</v>
      </c>
      <c r="F12">
        <v>93.6</v>
      </c>
      <c r="G12">
        <v>15.1</v>
      </c>
      <c r="H12">
        <v>90.6</v>
      </c>
      <c r="I12">
        <v>14.4</v>
      </c>
      <c r="J12" s="1">
        <f t="shared" si="0"/>
        <v>0.70935960591133007</v>
      </c>
      <c r="K12">
        <v>1</v>
      </c>
      <c r="L12" s="1">
        <f t="shared" si="2"/>
        <v>1.0129740518962076</v>
      </c>
      <c r="M12" s="1">
        <f t="shared" si="3"/>
        <v>0.93413173652694603</v>
      </c>
      <c r="N12" s="1">
        <f t="shared" si="1"/>
        <v>0.90419161676646698</v>
      </c>
    </row>
    <row r="13" spans="1:14" x14ac:dyDescent="0.2">
      <c r="A13">
        <v>24</v>
      </c>
      <c r="B13">
        <v>107.1</v>
      </c>
      <c r="C13">
        <v>21.6</v>
      </c>
      <c r="D13">
        <v>108.3</v>
      </c>
      <c r="E13">
        <v>21.5</v>
      </c>
      <c r="F13">
        <v>98</v>
      </c>
      <c r="G13">
        <v>15.7</v>
      </c>
      <c r="H13">
        <v>96.5</v>
      </c>
      <c r="I13">
        <v>14.8</v>
      </c>
      <c r="J13" s="1">
        <f t="shared" si="0"/>
        <v>0.68837209302325586</v>
      </c>
      <c r="K13">
        <v>1</v>
      </c>
      <c r="L13" s="1">
        <f t="shared" si="2"/>
        <v>1.011204481792717</v>
      </c>
      <c r="M13" s="1">
        <f t="shared" si="3"/>
        <v>0.91503267973856217</v>
      </c>
      <c r="N13" s="1">
        <f t="shared" si="1"/>
        <v>0.90102707749766575</v>
      </c>
    </row>
    <row r="14" spans="1:14" x14ac:dyDescent="0.2">
      <c r="A14">
        <v>26</v>
      </c>
      <c r="B14">
        <v>112.4</v>
      </c>
      <c r="C14">
        <v>23.7</v>
      </c>
      <c r="D14">
        <v>112.9</v>
      </c>
      <c r="E14">
        <v>23.3</v>
      </c>
      <c r="F14">
        <v>104.2</v>
      </c>
      <c r="G14">
        <v>16.7</v>
      </c>
      <c r="H14">
        <v>100.9</v>
      </c>
      <c r="I14">
        <v>16</v>
      </c>
      <c r="J14" s="1">
        <f t="shared" si="0"/>
        <v>0.68669527896995708</v>
      </c>
      <c r="K14">
        <v>1</v>
      </c>
      <c r="L14" s="1">
        <f t="shared" si="2"/>
        <v>1.0044483985765125</v>
      </c>
      <c r="M14" s="1">
        <f t="shared" si="3"/>
        <v>0.92704626334519569</v>
      </c>
      <c r="N14" s="1">
        <f t="shared" si="1"/>
        <v>0.89768683274021355</v>
      </c>
    </row>
    <row r="15" spans="1:14" x14ac:dyDescent="0.2">
      <c r="A15">
        <v>28</v>
      </c>
      <c r="B15">
        <v>118.6</v>
      </c>
      <c r="C15">
        <v>25.9</v>
      </c>
      <c r="D15">
        <v>118.9</v>
      </c>
      <c r="E15">
        <v>25.2</v>
      </c>
      <c r="F15">
        <v>108.6</v>
      </c>
      <c r="G15">
        <v>17.8</v>
      </c>
      <c r="H15">
        <v>106.2</v>
      </c>
      <c r="I15">
        <v>17.2</v>
      </c>
      <c r="J15" s="1">
        <f t="shared" si="0"/>
        <v>0.68253968253968256</v>
      </c>
      <c r="K15">
        <v>1</v>
      </c>
      <c r="L15" s="1">
        <f t="shared" si="2"/>
        <v>1.0025295109612142</v>
      </c>
      <c r="M15" s="1">
        <f t="shared" si="3"/>
        <v>0.91568296795952786</v>
      </c>
      <c r="N15" s="1">
        <f t="shared" si="1"/>
        <v>0.89544688026981456</v>
      </c>
    </row>
    <row r="16" spans="1:14" x14ac:dyDescent="0.2">
      <c r="A16">
        <v>30</v>
      </c>
      <c r="B16">
        <v>122.1</v>
      </c>
      <c r="C16">
        <v>27.6</v>
      </c>
      <c r="D16">
        <v>122.2</v>
      </c>
      <c r="E16">
        <v>27.3</v>
      </c>
      <c r="F16">
        <v>111.8</v>
      </c>
      <c r="G16">
        <v>19</v>
      </c>
      <c r="H16">
        <v>109.2</v>
      </c>
      <c r="I16">
        <v>18.5</v>
      </c>
      <c r="J16" s="1">
        <f t="shared" si="0"/>
        <v>0.67765567765567769</v>
      </c>
      <c r="K16">
        <v>1</v>
      </c>
      <c r="L16" s="1">
        <f t="shared" si="2"/>
        <v>1.000819000819001</v>
      </c>
      <c r="M16" s="1">
        <f t="shared" si="3"/>
        <v>0.91564291564291567</v>
      </c>
      <c r="N16" s="1">
        <f t="shared" si="1"/>
        <v>0.89434889434889442</v>
      </c>
    </row>
    <row r="17" spans="1:14" x14ac:dyDescent="0.2">
      <c r="A17">
        <v>32</v>
      </c>
      <c r="B17">
        <v>129.30000000000001</v>
      </c>
      <c r="C17">
        <v>30.8</v>
      </c>
      <c r="D17">
        <v>129.19999999999999</v>
      </c>
      <c r="E17">
        <v>30.4</v>
      </c>
      <c r="F17">
        <v>116.6</v>
      </c>
      <c r="G17">
        <v>20.9</v>
      </c>
      <c r="H17">
        <v>113.9</v>
      </c>
      <c r="I17">
        <v>20.100000000000001</v>
      </c>
      <c r="J17" s="1">
        <f t="shared" si="0"/>
        <v>0.66118421052631582</v>
      </c>
      <c r="K17">
        <v>1</v>
      </c>
      <c r="L17" s="1">
        <f t="shared" si="2"/>
        <v>0.9992266047950501</v>
      </c>
      <c r="M17" s="1">
        <f t="shared" si="3"/>
        <v>0.90177880897138429</v>
      </c>
      <c r="N17" s="1">
        <f t="shared" si="1"/>
        <v>0.88089713843774164</v>
      </c>
    </row>
    <row r="18" spans="1:14" x14ac:dyDescent="0.2">
      <c r="A18">
        <v>34</v>
      </c>
      <c r="B18">
        <v>134</v>
      </c>
      <c r="C18">
        <v>33.4</v>
      </c>
      <c r="D18">
        <v>135.5</v>
      </c>
      <c r="E18">
        <v>32.6</v>
      </c>
      <c r="F18">
        <v>120.6</v>
      </c>
      <c r="G18">
        <v>22.1</v>
      </c>
      <c r="H18">
        <v>119.1</v>
      </c>
      <c r="I18">
        <v>21.5</v>
      </c>
      <c r="J18" s="1">
        <f t="shared" si="0"/>
        <v>0.6595092024539877</v>
      </c>
      <c r="K18">
        <v>1</v>
      </c>
      <c r="L18" s="1">
        <f t="shared" si="2"/>
        <v>1.0111940298507462</v>
      </c>
      <c r="M18" s="1">
        <f t="shared" si="3"/>
        <v>0.89999999999999991</v>
      </c>
      <c r="N18" s="1">
        <f t="shared" si="1"/>
        <v>0.88880597014925367</v>
      </c>
    </row>
    <row r="19" spans="1:14" x14ac:dyDescent="0.2">
      <c r="A19">
        <v>36</v>
      </c>
      <c r="B19">
        <v>139.80000000000001</v>
      </c>
      <c r="C19">
        <v>35.700000000000003</v>
      </c>
      <c r="D19">
        <v>139.80000000000001</v>
      </c>
      <c r="E19">
        <v>35.299999999999997</v>
      </c>
      <c r="F19">
        <v>125.4</v>
      </c>
      <c r="G19">
        <v>23.9</v>
      </c>
      <c r="H19">
        <v>123</v>
      </c>
      <c r="I19">
        <v>23.3</v>
      </c>
      <c r="J19" s="1">
        <f t="shared" si="0"/>
        <v>0.66005665722379614</v>
      </c>
      <c r="K19">
        <v>1</v>
      </c>
      <c r="L19" s="1">
        <f t="shared" si="2"/>
        <v>1</v>
      </c>
      <c r="M19" s="1">
        <f t="shared" si="3"/>
        <v>0.89699570815450635</v>
      </c>
      <c r="N19" s="1">
        <f t="shared" si="1"/>
        <v>0.87982832618025741</v>
      </c>
    </row>
    <row r="20" spans="1:14" x14ac:dyDescent="0.2">
      <c r="A20">
        <v>38</v>
      </c>
      <c r="B20">
        <v>144</v>
      </c>
      <c r="C20">
        <v>38.200000000000003</v>
      </c>
      <c r="D20">
        <v>145.19999999999999</v>
      </c>
      <c r="E20">
        <v>37.299999999999997</v>
      </c>
      <c r="F20">
        <v>129.4</v>
      </c>
      <c r="G20">
        <v>25.6</v>
      </c>
      <c r="H20">
        <v>127.5</v>
      </c>
      <c r="I20">
        <v>24.6</v>
      </c>
      <c r="J20" s="1">
        <f t="shared" si="0"/>
        <v>0.65951742627345855</v>
      </c>
      <c r="K20">
        <v>1</v>
      </c>
      <c r="L20" s="1">
        <f t="shared" si="2"/>
        <v>1.0083333333333333</v>
      </c>
      <c r="M20" s="1">
        <f t="shared" si="3"/>
        <v>0.89861111111111114</v>
      </c>
      <c r="N20" s="1">
        <f t="shared" si="1"/>
        <v>0.88541666666666663</v>
      </c>
    </row>
    <row r="21" spans="1:14" x14ac:dyDescent="0.2">
      <c r="A21">
        <v>40</v>
      </c>
      <c r="B21">
        <v>149.80000000000001</v>
      </c>
      <c r="C21">
        <v>40.9</v>
      </c>
      <c r="D21">
        <v>151.1</v>
      </c>
      <c r="E21">
        <v>40.200000000000003</v>
      </c>
      <c r="F21">
        <v>134.6</v>
      </c>
      <c r="G21">
        <v>26.7</v>
      </c>
      <c r="H21">
        <v>130.69999999999999</v>
      </c>
      <c r="I21">
        <v>25.8</v>
      </c>
      <c r="J21" s="1">
        <f t="shared" si="0"/>
        <v>0.64179104477611937</v>
      </c>
      <c r="K21">
        <v>1</v>
      </c>
      <c r="L21" s="1">
        <f t="shared" si="2"/>
        <v>1.0086782376502001</v>
      </c>
      <c r="M21" s="1">
        <f t="shared" si="3"/>
        <v>0.89853137516688908</v>
      </c>
      <c r="N21" s="1">
        <f t="shared" si="1"/>
        <v>0.87249666221628819</v>
      </c>
    </row>
    <row r="22" spans="1:14" x14ac:dyDescent="0.2">
      <c r="A22">
        <v>60</v>
      </c>
      <c r="B22">
        <v>203.2</v>
      </c>
      <c r="C22">
        <v>74.5</v>
      </c>
      <c r="D22">
        <v>204.7</v>
      </c>
      <c r="E22">
        <v>73.7</v>
      </c>
      <c r="F22">
        <v>176.4</v>
      </c>
      <c r="G22">
        <v>46</v>
      </c>
      <c r="H22">
        <v>174</v>
      </c>
      <c r="I22">
        <v>44.7</v>
      </c>
      <c r="J22" s="1">
        <f t="shared" si="0"/>
        <v>0.60651289009497966</v>
      </c>
      <c r="K22">
        <v>1</v>
      </c>
      <c r="L22" s="1">
        <f t="shared" si="2"/>
        <v>1.0073818897637796</v>
      </c>
      <c r="M22" s="1">
        <f t="shared" si="3"/>
        <v>0.86811023622047256</v>
      </c>
      <c r="N22" s="1">
        <f t="shared" si="1"/>
        <v>0.85629921259842523</v>
      </c>
    </row>
    <row r="23" spans="1:14" x14ac:dyDescent="0.2">
      <c r="A23">
        <v>80</v>
      </c>
      <c r="B23">
        <v>255.2</v>
      </c>
      <c r="C23">
        <v>124.9</v>
      </c>
      <c r="D23">
        <v>256.89999999999998</v>
      </c>
      <c r="E23">
        <v>122.6</v>
      </c>
      <c r="F23">
        <v>216.2</v>
      </c>
      <c r="G23">
        <v>75.7</v>
      </c>
      <c r="H23">
        <v>213.8</v>
      </c>
      <c r="I23">
        <v>74.8</v>
      </c>
      <c r="J23" s="1">
        <f t="shared" si="0"/>
        <v>0.61011419249592169</v>
      </c>
      <c r="K23">
        <v>1</v>
      </c>
      <c r="L23" s="1">
        <f t="shared" si="2"/>
        <v>1.0066614420062696</v>
      </c>
      <c r="M23" s="1">
        <f t="shared" si="3"/>
        <v>0.84717868338557989</v>
      </c>
      <c r="N23" s="1">
        <f t="shared" si="1"/>
        <v>0.83777429467084652</v>
      </c>
    </row>
    <row r="24" spans="1:14" x14ac:dyDescent="0.2">
      <c r="A24">
        <v>100</v>
      </c>
      <c r="B24">
        <v>304.89999999999998</v>
      </c>
      <c r="C24">
        <v>193.4</v>
      </c>
      <c r="D24">
        <v>310.39999999999998</v>
      </c>
      <c r="E24">
        <v>188.5</v>
      </c>
      <c r="F24">
        <v>255.6</v>
      </c>
      <c r="G24">
        <v>113.6</v>
      </c>
      <c r="H24">
        <v>252.8</v>
      </c>
      <c r="I24">
        <v>113.8</v>
      </c>
      <c r="J24" s="1">
        <f t="shared" si="0"/>
        <v>0.60371352785145882</v>
      </c>
      <c r="K24">
        <v>1</v>
      </c>
      <c r="L24" s="1">
        <f t="shared" si="2"/>
        <v>1.0180387012135126</v>
      </c>
      <c r="M24" s="1">
        <f t="shared" si="3"/>
        <v>0.8383076418497869</v>
      </c>
      <c r="N24" s="1">
        <f t="shared" si="1"/>
        <v>0.82912430305018048</v>
      </c>
    </row>
    <row r="25" spans="1:14" x14ac:dyDescent="0.2">
      <c r="A25">
        <v>120</v>
      </c>
      <c r="B25">
        <v>358.8</v>
      </c>
      <c r="C25">
        <v>237.3</v>
      </c>
      <c r="D25">
        <v>362.8</v>
      </c>
      <c r="E25">
        <v>233.8</v>
      </c>
      <c r="F25">
        <v>294.10000000000002</v>
      </c>
      <c r="G25">
        <v>139</v>
      </c>
      <c r="H25">
        <v>290.5</v>
      </c>
      <c r="I25">
        <v>136.5</v>
      </c>
      <c r="J25" s="1">
        <f t="shared" si="0"/>
        <v>0.58383233532934131</v>
      </c>
      <c r="K25">
        <v>1</v>
      </c>
      <c r="L25" s="1">
        <f t="shared" si="2"/>
        <v>1.0111482720178373</v>
      </c>
      <c r="M25" s="1">
        <f t="shared" si="3"/>
        <v>0.81967670011148275</v>
      </c>
      <c r="N25" s="1">
        <f t="shared" si="1"/>
        <v>0.80964325529542913</v>
      </c>
    </row>
    <row r="26" spans="1:14" x14ac:dyDescent="0.2">
      <c r="A26">
        <v>140</v>
      </c>
      <c r="B26">
        <v>411</v>
      </c>
      <c r="C26">
        <v>312.60000000000002</v>
      </c>
      <c r="D26">
        <v>413.5</v>
      </c>
      <c r="E26">
        <v>303.3</v>
      </c>
      <c r="F26">
        <v>330.1</v>
      </c>
      <c r="G26">
        <v>175.9</v>
      </c>
      <c r="H26">
        <v>329.3</v>
      </c>
      <c r="I26">
        <v>175.2</v>
      </c>
      <c r="J26" s="1">
        <f t="shared" si="0"/>
        <v>0.57764589515331344</v>
      </c>
      <c r="K26">
        <v>1</v>
      </c>
      <c r="L26" s="1">
        <f t="shared" si="2"/>
        <v>1.0060827250608273</v>
      </c>
      <c r="M26" s="1">
        <f t="shared" si="3"/>
        <v>0.80316301703163018</v>
      </c>
      <c r="N26" s="1">
        <f t="shared" si="1"/>
        <v>0.80121654501216544</v>
      </c>
    </row>
    <row r="27" spans="1:14" x14ac:dyDescent="0.2">
      <c r="A27">
        <v>160</v>
      </c>
      <c r="B27">
        <v>462.8</v>
      </c>
      <c r="C27">
        <v>408.8</v>
      </c>
      <c r="D27">
        <v>464.8</v>
      </c>
      <c r="E27">
        <v>401.5</v>
      </c>
      <c r="F27">
        <v>367.3</v>
      </c>
      <c r="G27">
        <v>229.6</v>
      </c>
      <c r="H27">
        <v>365.1</v>
      </c>
      <c r="I27">
        <v>226.5</v>
      </c>
      <c r="J27" s="1">
        <f t="shared" si="0"/>
        <v>0.56413449564134499</v>
      </c>
      <c r="K27">
        <v>1</v>
      </c>
      <c r="L27" s="1">
        <f t="shared" si="2"/>
        <v>1.0043215211754537</v>
      </c>
      <c r="M27" s="1">
        <f t="shared" si="3"/>
        <v>0.79364736387208301</v>
      </c>
      <c r="N27" s="1">
        <f t="shared" si="1"/>
        <v>0.78889369057908387</v>
      </c>
    </row>
    <row r="28" spans="1:14" x14ac:dyDescent="0.2">
      <c r="A28">
        <v>180</v>
      </c>
      <c r="B28">
        <v>510.4</v>
      </c>
      <c r="C28">
        <v>522.6</v>
      </c>
      <c r="D28">
        <v>517.1</v>
      </c>
      <c r="E28">
        <v>514.5</v>
      </c>
      <c r="F28">
        <v>404.2</v>
      </c>
      <c r="G28">
        <v>287.89999999999998</v>
      </c>
      <c r="H28">
        <v>403</v>
      </c>
      <c r="I28">
        <v>286.2</v>
      </c>
      <c r="J28" s="1">
        <f t="shared" si="0"/>
        <v>0.55626822157434397</v>
      </c>
      <c r="K28">
        <v>1</v>
      </c>
      <c r="L28" s="1">
        <f t="shared" si="2"/>
        <v>1.0131269592476491</v>
      </c>
      <c r="M28" s="1">
        <f t="shared" si="3"/>
        <v>0.79192789968652044</v>
      </c>
      <c r="N28" s="1">
        <f t="shared" si="1"/>
        <v>0.78957680250783702</v>
      </c>
    </row>
    <row r="29" spans="1:14" x14ac:dyDescent="0.2">
      <c r="A29">
        <v>200</v>
      </c>
      <c r="B29">
        <v>561.5</v>
      </c>
      <c r="C29">
        <v>636.29999999999995</v>
      </c>
      <c r="D29">
        <v>568.70000000000005</v>
      </c>
      <c r="E29">
        <v>629.70000000000005</v>
      </c>
      <c r="F29">
        <v>438.1</v>
      </c>
      <c r="G29">
        <v>342.7</v>
      </c>
      <c r="H29">
        <v>436.3</v>
      </c>
      <c r="I29">
        <v>339.3</v>
      </c>
      <c r="J29" s="1">
        <f t="shared" si="0"/>
        <v>0.53882801333968555</v>
      </c>
      <c r="K29">
        <v>1</v>
      </c>
      <c r="L29" s="1">
        <f t="shared" si="2"/>
        <v>1.0128227960819236</v>
      </c>
      <c r="M29" s="1">
        <f t="shared" si="3"/>
        <v>0.78023152270703477</v>
      </c>
      <c r="N29" s="1">
        <f t="shared" si="1"/>
        <v>0.77702582368655393</v>
      </c>
    </row>
    <row r="30" spans="1:14" x14ac:dyDescent="0.2">
      <c r="A30">
        <v>300</v>
      </c>
      <c r="B30">
        <v>813</v>
      </c>
      <c r="C30">
        <v>1531.9</v>
      </c>
      <c r="D30">
        <v>821</v>
      </c>
      <c r="E30">
        <v>1491.6</v>
      </c>
      <c r="F30">
        <v>609.6</v>
      </c>
      <c r="G30">
        <v>751.3</v>
      </c>
      <c r="H30">
        <v>603.5</v>
      </c>
      <c r="I30">
        <v>743.7</v>
      </c>
      <c r="J30" s="1">
        <f t="shared" si="0"/>
        <v>0.49859211584875307</v>
      </c>
      <c r="K30">
        <v>1</v>
      </c>
      <c r="L30" s="1">
        <f t="shared" si="2"/>
        <v>1.0098400984009841</v>
      </c>
      <c r="M30" s="1">
        <f t="shared" si="3"/>
        <v>0.74981549815498161</v>
      </c>
      <c r="N30" s="1">
        <f t="shared" si="1"/>
        <v>0.74231242312423129</v>
      </c>
    </row>
    <row r="31" spans="1:14" x14ac:dyDescent="0.2">
      <c r="A31">
        <v>400</v>
      </c>
      <c r="B31">
        <v>1057.7</v>
      </c>
      <c r="C31">
        <v>2770.4</v>
      </c>
      <c r="D31">
        <v>1062.0999999999999</v>
      </c>
      <c r="E31">
        <v>2709.1</v>
      </c>
      <c r="F31">
        <v>761.3</v>
      </c>
      <c r="G31">
        <v>1248.3</v>
      </c>
      <c r="H31">
        <v>759.2</v>
      </c>
      <c r="I31">
        <v>1242.8</v>
      </c>
      <c r="J31" s="1">
        <f t="shared" si="0"/>
        <v>0.45875013842235429</v>
      </c>
      <c r="K31">
        <v>1</v>
      </c>
      <c r="L31" s="1">
        <f t="shared" si="2"/>
        <v>1.0041599697456745</v>
      </c>
      <c r="M31" s="1">
        <f t="shared" si="3"/>
        <v>0.71976931076864892</v>
      </c>
      <c r="N31" s="1">
        <f t="shared" si="1"/>
        <v>0.71778387066275884</v>
      </c>
    </row>
    <row r="32" spans="1:14" x14ac:dyDescent="0.2">
      <c r="A32">
        <v>500</v>
      </c>
      <c r="B32">
        <v>1300.5999999999999</v>
      </c>
      <c r="C32">
        <v>4515.8</v>
      </c>
      <c r="D32">
        <v>1306.8</v>
      </c>
      <c r="E32">
        <v>4437.7</v>
      </c>
      <c r="F32">
        <v>914</v>
      </c>
      <c r="G32">
        <v>1881.4</v>
      </c>
      <c r="H32">
        <v>912.7</v>
      </c>
      <c r="I32">
        <v>1875.7</v>
      </c>
      <c r="J32" s="1">
        <f t="shared" si="0"/>
        <v>0.42267390765486629</v>
      </c>
      <c r="K32">
        <v>1</v>
      </c>
      <c r="L32" s="1">
        <f t="shared" si="2"/>
        <v>1.004767030601261</v>
      </c>
      <c r="M32" s="1">
        <f t="shared" si="3"/>
        <v>0.70275257573427652</v>
      </c>
      <c r="N32" s="1">
        <f t="shared" si="1"/>
        <v>0.70175303705981862</v>
      </c>
    </row>
    <row r="33" spans="1:14" x14ac:dyDescent="0.2">
      <c r="A33">
        <v>600</v>
      </c>
      <c r="B33">
        <v>1540.9</v>
      </c>
      <c r="C33">
        <v>6729.7</v>
      </c>
      <c r="D33">
        <v>1553.4</v>
      </c>
      <c r="E33">
        <v>6602.9</v>
      </c>
      <c r="F33">
        <v>1058.2</v>
      </c>
      <c r="G33">
        <v>2589.6999999999998</v>
      </c>
      <c r="H33">
        <v>1057</v>
      </c>
      <c r="I33">
        <v>2584.8000000000002</v>
      </c>
      <c r="J33" s="1">
        <f t="shared" si="0"/>
        <v>0.3914643565705978</v>
      </c>
      <c r="K33">
        <v>1</v>
      </c>
      <c r="L33" s="1">
        <f t="shared" si="2"/>
        <v>1.0081121422545265</v>
      </c>
      <c r="M33" s="1">
        <f t="shared" si="3"/>
        <v>0.68674151469920175</v>
      </c>
      <c r="N33" s="1">
        <f t="shared" si="1"/>
        <v>0.68596274904276722</v>
      </c>
    </row>
    <row r="34" spans="1:14" x14ac:dyDescent="0.2">
      <c r="A34">
        <v>700</v>
      </c>
      <c r="B34">
        <v>1782.9</v>
      </c>
      <c r="C34">
        <v>10172.4</v>
      </c>
      <c r="D34">
        <v>1790.3</v>
      </c>
      <c r="E34">
        <v>9937.4</v>
      </c>
      <c r="F34">
        <v>1194.9000000000001</v>
      </c>
      <c r="G34">
        <v>3655.7</v>
      </c>
      <c r="H34">
        <v>1194.0999999999999</v>
      </c>
      <c r="I34">
        <v>3635.7</v>
      </c>
      <c r="J34" s="1">
        <f t="shared" si="0"/>
        <v>0.3658602853865196</v>
      </c>
      <c r="K34">
        <v>1</v>
      </c>
      <c r="L34" s="1">
        <f t="shared" si="2"/>
        <v>1.0041505412530147</v>
      </c>
      <c r="M34" s="1">
        <f t="shared" si="3"/>
        <v>0.67020023557126029</v>
      </c>
      <c r="N34" s="1">
        <f t="shared" si="1"/>
        <v>0.66975152840877217</v>
      </c>
    </row>
    <row r="35" spans="1:14" x14ac:dyDescent="0.2">
      <c r="A35">
        <v>800</v>
      </c>
      <c r="B35">
        <v>2017.7</v>
      </c>
      <c r="C35">
        <v>13489.7</v>
      </c>
      <c r="D35">
        <v>2031.8</v>
      </c>
      <c r="E35">
        <v>13194</v>
      </c>
      <c r="F35">
        <v>1326.3</v>
      </c>
      <c r="G35">
        <v>4522.2</v>
      </c>
      <c r="H35">
        <v>1323.5</v>
      </c>
      <c r="I35">
        <v>4523</v>
      </c>
      <c r="J35" s="1">
        <f t="shared" si="0"/>
        <v>0.34280733666818253</v>
      </c>
      <c r="K35">
        <v>1</v>
      </c>
      <c r="L35" s="1">
        <f t="shared" si="2"/>
        <v>1.0069881548297566</v>
      </c>
      <c r="M35" s="1">
        <f t="shared" si="3"/>
        <v>0.65733260643306735</v>
      </c>
      <c r="N35" s="1">
        <f t="shared" si="1"/>
        <v>0.65594488774347026</v>
      </c>
    </row>
    <row r="36" spans="1:14" x14ac:dyDescent="0.2">
      <c r="A36">
        <v>900</v>
      </c>
      <c r="B36">
        <v>2233.6999999999998</v>
      </c>
      <c r="C36">
        <v>16742.7</v>
      </c>
      <c r="D36">
        <v>2257</v>
      </c>
      <c r="E36">
        <v>16424.7</v>
      </c>
      <c r="F36">
        <v>1452.7</v>
      </c>
      <c r="G36">
        <v>5322.5</v>
      </c>
      <c r="H36">
        <v>1450.2</v>
      </c>
      <c r="I36">
        <v>5285.1</v>
      </c>
      <c r="J36" s="1">
        <f t="shared" si="0"/>
        <v>0.32177756671354729</v>
      </c>
      <c r="K36">
        <v>1</v>
      </c>
      <c r="L36" s="1">
        <f t="shared" si="2"/>
        <v>1.010431123248422</v>
      </c>
      <c r="M36" s="1">
        <f t="shared" si="3"/>
        <v>0.65035591171598706</v>
      </c>
      <c r="N36" s="1">
        <f t="shared" si="1"/>
        <v>0.64923669248332372</v>
      </c>
    </row>
    <row r="37" spans="1:14" x14ac:dyDescent="0.2">
      <c r="A37">
        <v>1000</v>
      </c>
      <c r="B37">
        <v>2461.1</v>
      </c>
      <c r="C37">
        <v>21099.200000000001</v>
      </c>
      <c r="D37">
        <v>2479.4</v>
      </c>
      <c r="E37">
        <v>20583.900000000001</v>
      </c>
      <c r="F37">
        <v>1573.5</v>
      </c>
      <c r="G37">
        <v>6275</v>
      </c>
      <c r="H37">
        <v>1571.6</v>
      </c>
      <c r="I37">
        <v>6270.5</v>
      </c>
      <c r="J37" s="1">
        <f t="shared" si="0"/>
        <v>0.30463128950296103</v>
      </c>
      <c r="K37">
        <v>1</v>
      </c>
      <c r="L37" s="1">
        <f t="shared" si="2"/>
        <v>1.0074356994839706</v>
      </c>
      <c r="M37" s="1">
        <f t="shared" si="3"/>
        <v>0.63934825890861813</v>
      </c>
      <c r="N37" s="1">
        <f t="shared" si="1"/>
        <v>0.63857624639388888</v>
      </c>
    </row>
    <row r="38" spans="1:14" x14ac:dyDescent="0.2">
      <c r="A38">
        <v>1100</v>
      </c>
      <c r="B38">
        <v>2693.3</v>
      </c>
      <c r="C38">
        <v>25456</v>
      </c>
      <c r="D38">
        <v>2718</v>
      </c>
      <c r="E38">
        <v>24909</v>
      </c>
      <c r="F38">
        <v>1698.2</v>
      </c>
      <c r="G38">
        <v>7179.1</v>
      </c>
      <c r="H38">
        <v>1693.5</v>
      </c>
      <c r="I38">
        <v>7180.7</v>
      </c>
      <c r="J38" s="1">
        <f t="shared" si="0"/>
        <v>0.28827732947930468</v>
      </c>
      <c r="K38">
        <v>1</v>
      </c>
      <c r="L38" s="1">
        <f t="shared" si="2"/>
        <v>1.0091709055805145</v>
      </c>
      <c r="M38" s="1">
        <f t="shared" si="3"/>
        <v>0.63052760553967246</v>
      </c>
      <c r="N38" s="1">
        <f t="shared" si="1"/>
        <v>0.62878253443730736</v>
      </c>
    </row>
    <row r="39" spans="1:14" x14ac:dyDescent="0.2">
      <c r="A39">
        <v>1200</v>
      </c>
      <c r="B39">
        <v>2926.2</v>
      </c>
      <c r="C39">
        <v>26687.1</v>
      </c>
      <c r="D39">
        <v>2939.3</v>
      </c>
      <c r="E39">
        <v>26202.7</v>
      </c>
      <c r="F39">
        <v>1812.4</v>
      </c>
      <c r="G39">
        <v>7175.6</v>
      </c>
      <c r="H39">
        <v>1809.7</v>
      </c>
      <c r="I39">
        <v>7150.2</v>
      </c>
      <c r="J39" s="1">
        <f t="shared" si="0"/>
        <v>0.27288027569677931</v>
      </c>
      <c r="K39">
        <v>1</v>
      </c>
      <c r="L39" s="1">
        <f t="shared" si="2"/>
        <v>1.0044767958444401</v>
      </c>
      <c r="M39" s="1">
        <f t="shared" si="3"/>
        <v>0.61936983118037048</v>
      </c>
      <c r="N39" s="1">
        <f t="shared" si="1"/>
        <v>0.61844713280021879</v>
      </c>
    </row>
    <row r="40" spans="1:14" x14ac:dyDescent="0.2">
      <c r="A40">
        <v>1300</v>
      </c>
      <c r="B40">
        <v>3129.1</v>
      </c>
      <c r="C40">
        <v>34106.699999999997</v>
      </c>
      <c r="D40">
        <v>3159.5</v>
      </c>
      <c r="E40">
        <v>33556.1</v>
      </c>
      <c r="F40">
        <v>1922.6</v>
      </c>
      <c r="G40">
        <v>8729.4</v>
      </c>
      <c r="H40">
        <v>1918.9</v>
      </c>
      <c r="I40">
        <v>8707.7999999999993</v>
      </c>
      <c r="J40" s="1">
        <f t="shared" si="0"/>
        <v>0.25949976308331418</v>
      </c>
      <c r="K40">
        <v>1</v>
      </c>
      <c r="L40" s="1">
        <f t="shared" si="2"/>
        <v>1.0097152535872935</v>
      </c>
      <c r="M40" s="1">
        <f t="shared" si="3"/>
        <v>0.61442587325429032</v>
      </c>
      <c r="N40" s="1">
        <f t="shared" si="1"/>
        <v>0.61324342462688952</v>
      </c>
    </row>
    <row r="41" spans="1:14" x14ac:dyDescent="0.2">
      <c r="A41">
        <v>1400</v>
      </c>
      <c r="B41">
        <v>3349.9</v>
      </c>
      <c r="C41">
        <v>40561.599999999999</v>
      </c>
      <c r="D41">
        <v>3376.3</v>
      </c>
      <c r="E41">
        <v>39566.9</v>
      </c>
      <c r="F41">
        <v>2032.5</v>
      </c>
      <c r="G41">
        <v>9873.9</v>
      </c>
      <c r="H41">
        <v>2034</v>
      </c>
      <c r="I41">
        <v>9864</v>
      </c>
      <c r="J41" s="1">
        <f t="shared" si="0"/>
        <v>0.2492992880412668</v>
      </c>
      <c r="K41">
        <v>1</v>
      </c>
      <c r="L41" s="1">
        <f t="shared" si="2"/>
        <v>1.0078808322636497</v>
      </c>
      <c r="M41" s="1">
        <f t="shared" si="3"/>
        <v>0.60673452938893702</v>
      </c>
      <c r="N41" s="1">
        <f t="shared" si="1"/>
        <v>0.60718230394937156</v>
      </c>
    </row>
    <row r="42" spans="1:14" x14ac:dyDescent="0.2">
      <c r="A42">
        <v>1500</v>
      </c>
      <c r="B42">
        <v>3568</v>
      </c>
      <c r="C42">
        <v>44855</v>
      </c>
      <c r="D42">
        <v>3601.2</v>
      </c>
      <c r="E42">
        <v>44025.8</v>
      </c>
      <c r="F42">
        <v>2144.9</v>
      </c>
      <c r="G42">
        <v>10490.3</v>
      </c>
      <c r="H42">
        <v>2143.3000000000002</v>
      </c>
      <c r="I42">
        <v>10475.9</v>
      </c>
      <c r="J42" s="1">
        <f t="shared" si="0"/>
        <v>0.23794911165725549</v>
      </c>
      <c r="K42">
        <v>1</v>
      </c>
      <c r="L42" s="1">
        <f t="shared" si="2"/>
        <v>1.009304932735426</v>
      </c>
      <c r="M42" s="1">
        <f t="shared" si="3"/>
        <v>0.60114910313901349</v>
      </c>
      <c r="N42" s="1">
        <f t="shared" si="1"/>
        <v>0.60070067264574001</v>
      </c>
    </row>
    <row r="43" spans="1:14" x14ac:dyDescent="0.2">
      <c r="A43">
        <v>1600</v>
      </c>
      <c r="B43">
        <v>3784.4</v>
      </c>
      <c r="C43">
        <v>51777.7</v>
      </c>
      <c r="D43">
        <v>3819.3</v>
      </c>
      <c r="E43">
        <v>50729.9</v>
      </c>
      <c r="F43">
        <v>2246.3000000000002</v>
      </c>
      <c r="G43">
        <v>11556.7</v>
      </c>
      <c r="H43">
        <v>2244.9</v>
      </c>
      <c r="I43">
        <v>11561.1</v>
      </c>
      <c r="J43" s="1">
        <f t="shared" si="0"/>
        <v>0.22789518607369619</v>
      </c>
      <c r="K43">
        <v>1</v>
      </c>
      <c r="L43" s="1">
        <f t="shared" si="2"/>
        <v>1.0092220695486736</v>
      </c>
      <c r="M43" s="1">
        <f t="shared" si="3"/>
        <v>0.59356833315717161</v>
      </c>
      <c r="N43" s="1">
        <f t="shared" si="1"/>
        <v>0.59319839340450276</v>
      </c>
    </row>
    <row r="44" spans="1:14" x14ac:dyDescent="0.2">
      <c r="A44">
        <v>1700</v>
      </c>
      <c r="B44">
        <v>4010.9</v>
      </c>
      <c r="C44">
        <v>62092.3</v>
      </c>
      <c r="D44">
        <v>4025.3</v>
      </c>
      <c r="E44">
        <v>60917.3</v>
      </c>
      <c r="F44">
        <v>2355.9</v>
      </c>
      <c r="G44">
        <v>13375.8</v>
      </c>
      <c r="H44">
        <v>2352.3000000000002</v>
      </c>
      <c r="I44">
        <v>13346.7</v>
      </c>
      <c r="J44" s="1">
        <f t="shared" si="0"/>
        <v>0.21909539654580884</v>
      </c>
      <c r="K44">
        <v>1</v>
      </c>
      <c r="L44" s="1">
        <f t="shared" si="2"/>
        <v>1.0035902166596027</v>
      </c>
      <c r="M44" s="1">
        <f t="shared" si="3"/>
        <v>0.58737440474706426</v>
      </c>
      <c r="N44" s="1">
        <f t="shared" si="1"/>
        <v>0.58647685058216359</v>
      </c>
    </row>
    <row r="45" spans="1:14" x14ac:dyDescent="0.2">
      <c r="A45">
        <v>1800</v>
      </c>
      <c r="B45">
        <v>4221.3999999999996</v>
      </c>
      <c r="C45">
        <v>69835.5</v>
      </c>
      <c r="D45">
        <v>4250.3999999999996</v>
      </c>
      <c r="E45">
        <v>68502.399999999994</v>
      </c>
      <c r="F45">
        <v>2458.4</v>
      </c>
      <c r="G45">
        <v>14375.2</v>
      </c>
      <c r="H45">
        <v>2456.4</v>
      </c>
      <c r="I45">
        <v>14392.7</v>
      </c>
      <c r="J45" s="1">
        <f t="shared" si="0"/>
        <v>0.2101050474143972</v>
      </c>
      <c r="K45">
        <v>1</v>
      </c>
      <c r="L45" s="1">
        <f t="shared" si="2"/>
        <v>1.0068697588477755</v>
      </c>
      <c r="M45" s="1">
        <f t="shared" si="3"/>
        <v>0.58236603970246847</v>
      </c>
      <c r="N45" s="1">
        <f t="shared" si="1"/>
        <v>0.58189226323020804</v>
      </c>
    </row>
    <row r="46" spans="1:14" x14ac:dyDescent="0.2">
      <c r="A46">
        <v>1900</v>
      </c>
      <c r="B46">
        <v>4424.1000000000004</v>
      </c>
      <c r="D46">
        <v>4460.3</v>
      </c>
      <c r="F46">
        <v>2551</v>
      </c>
      <c r="H46">
        <v>2556.8000000000002</v>
      </c>
      <c r="J46" s="1"/>
      <c r="K46">
        <v>1</v>
      </c>
      <c r="L46" s="1">
        <f t="shared" si="2"/>
        <v>1.0081824551886258</v>
      </c>
      <c r="M46" s="1">
        <f t="shared" si="3"/>
        <v>0.57661445265703759</v>
      </c>
      <c r="N46" s="1">
        <f t="shared" si="1"/>
        <v>0.57792545376460747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C0165-7B09-2442-A9D2-BF39681A36D2}">
  <dimension ref="A1:N46"/>
  <sheetViews>
    <sheetView workbookViewId="0">
      <selection activeCell="J38" sqref="J38:J46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67</v>
      </c>
      <c r="K1" t="s">
        <v>60</v>
      </c>
      <c r="L1" t="s">
        <v>61</v>
      </c>
      <c r="M1" t="s">
        <v>5</v>
      </c>
      <c r="N1" t="s">
        <v>57</v>
      </c>
    </row>
    <row r="2" spans="1:14" x14ac:dyDescent="0.2">
      <c r="A2">
        <v>2</v>
      </c>
      <c r="B2">
        <v>75.8</v>
      </c>
      <c r="C2">
        <v>14.4</v>
      </c>
      <c r="D2">
        <v>65.5</v>
      </c>
      <c r="E2">
        <v>12.8</v>
      </c>
      <c r="F2">
        <v>96.4</v>
      </c>
      <c r="G2">
        <v>12.9</v>
      </c>
      <c r="H2">
        <v>65.400000000000006</v>
      </c>
      <c r="I2">
        <v>11.1</v>
      </c>
      <c r="J2" s="1">
        <f t="shared" ref="J2:J46" si="0">I2/E2</f>
        <v>0.86718749999999989</v>
      </c>
      <c r="K2">
        <v>1</v>
      </c>
      <c r="L2" s="1">
        <f t="shared" ref="L2:L29" si="1">D2/B2</f>
        <v>0.86411609498680741</v>
      </c>
      <c r="M2" s="1">
        <f t="shared" ref="M2:M29" si="2">F2/B2</f>
        <v>1.2717678100263854</v>
      </c>
      <c r="N2" s="1">
        <f t="shared" ref="N2:N29" si="3">H2/B2</f>
        <v>0.86279683377308714</v>
      </c>
    </row>
    <row r="3" spans="1:14" x14ac:dyDescent="0.2">
      <c r="A3">
        <v>4</v>
      </c>
      <c r="B3">
        <v>144.19999999999999</v>
      </c>
      <c r="C3">
        <v>21.4</v>
      </c>
      <c r="D3">
        <v>118.4</v>
      </c>
      <c r="E3">
        <v>19.7</v>
      </c>
      <c r="F3">
        <v>151.69999999999999</v>
      </c>
      <c r="G3">
        <v>17.7</v>
      </c>
      <c r="H3">
        <v>103.3</v>
      </c>
      <c r="I3">
        <v>14.8</v>
      </c>
      <c r="J3" s="1">
        <f t="shared" si="0"/>
        <v>0.75126903553299496</v>
      </c>
      <c r="K3">
        <v>1</v>
      </c>
      <c r="L3" s="1">
        <f t="shared" si="1"/>
        <v>0.82108183079056873</v>
      </c>
      <c r="M3" s="1">
        <f t="shared" si="2"/>
        <v>1.0520110957004161</v>
      </c>
      <c r="N3" s="1">
        <f t="shared" si="3"/>
        <v>0.71636615811373094</v>
      </c>
    </row>
    <row r="4" spans="1:14" x14ac:dyDescent="0.2">
      <c r="A4">
        <v>6</v>
      </c>
      <c r="B4">
        <v>222.9</v>
      </c>
      <c r="C4">
        <v>27.8</v>
      </c>
      <c r="D4">
        <v>192.8</v>
      </c>
      <c r="E4">
        <v>25.1</v>
      </c>
      <c r="F4">
        <v>217.4</v>
      </c>
      <c r="G4">
        <v>19.600000000000001</v>
      </c>
      <c r="H4">
        <v>166.7</v>
      </c>
      <c r="I4">
        <v>17.3</v>
      </c>
      <c r="J4" s="1">
        <f t="shared" si="0"/>
        <v>0.68924302788844616</v>
      </c>
      <c r="K4">
        <v>1</v>
      </c>
      <c r="L4" s="1">
        <f t="shared" si="1"/>
        <v>0.8649618663077614</v>
      </c>
      <c r="M4" s="1">
        <f t="shared" si="2"/>
        <v>0.97532525796321223</v>
      </c>
      <c r="N4" s="1">
        <f t="shared" si="3"/>
        <v>0.74786899955136821</v>
      </c>
    </row>
    <row r="5" spans="1:14" x14ac:dyDescent="0.2">
      <c r="A5">
        <v>8</v>
      </c>
      <c r="B5">
        <v>294.2</v>
      </c>
      <c r="C5">
        <v>34.5</v>
      </c>
      <c r="D5">
        <v>265.8</v>
      </c>
      <c r="E5">
        <v>31.6</v>
      </c>
      <c r="F5">
        <v>273</v>
      </c>
      <c r="G5">
        <v>23.5</v>
      </c>
      <c r="H5">
        <v>236.3</v>
      </c>
      <c r="I5">
        <v>20.2</v>
      </c>
      <c r="J5" s="1">
        <f t="shared" si="0"/>
        <v>0.63924050632911389</v>
      </c>
      <c r="K5">
        <v>1</v>
      </c>
      <c r="L5" s="1">
        <f t="shared" si="1"/>
        <v>0.90346702923181521</v>
      </c>
      <c r="M5" s="1">
        <f t="shared" si="2"/>
        <v>0.92794017675050988</v>
      </c>
      <c r="N5" s="1">
        <f t="shared" si="3"/>
        <v>0.80319510537049632</v>
      </c>
    </row>
    <row r="6" spans="1:14" x14ac:dyDescent="0.2">
      <c r="A6">
        <v>10</v>
      </c>
      <c r="B6">
        <v>337.3</v>
      </c>
      <c r="C6">
        <v>39.200000000000003</v>
      </c>
      <c r="D6">
        <v>317.39999999999998</v>
      </c>
      <c r="E6">
        <v>37.1</v>
      </c>
      <c r="F6">
        <v>317</v>
      </c>
      <c r="G6">
        <v>25.4</v>
      </c>
      <c r="H6">
        <v>278.10000000000002</v>
      </c>
      <c r="I6">
        <v>22.9</v>
      </c>
      <c r="J6" s="1">
        <f t="shared" si="0"/>
        <v>0.61725067385444743</v>
      </c>
      <c r="K6">
        <v>1</v>
      </c>
      <c r="L6" s="1">
        <f t="shared" si="1"/>
        <v>0.94100207530388369</v>
      </c>
      <c r="M6" s="1">
        <f t="shared" si="2"/>
        <v>0.93981618737029349</v>
      </c>
      <c r="N6" s="1">
        <f t="shared" si="3"/>
        <v>0.82448858582863926</v>
      </c>
    </row>
    <row r="7" spans="1:14" x14ac:dyDescent="0.2">
      <c r="A7">
        <v>12</v>
      </c>
      <c r="B7">
        <v>381.4</v>
      </c>
      <c r="C7">
        <v>46.7</v>
      </c>
      <c r="D7">
        <v>363.8</v>
      </c>
      <c r="E7">
        <v>44.5</v>
      </c>
      <c r="F7">
        <v>349.2</v>
      </c>
      <c r="G7">
        <v>28.8</v>
      </c>
      <c r="H7">
        <v>321.8</v>
      </c>
      <c r="I7">
        <v>26</v>
      </c>
      <c r="J7" s="1">
        <f t="shared" si="0"/>
        <v>0.5842696629213483</v>
      </c>
      <c r="K7">
        <v>1</v>
      </c>
      <c r="L7" s="1">
        <f t="shared" si="1"/>
        <v>0.95385422128998432</v>
      </c>
      <c r="M7" s="1">
        <f t="shared" si="2"/>
        <v>0.91557420031463033</v>
      </c>
      <c r="N7" s="1">
        <f t="shared" si="3"/>
        <v>0.8437336130047195</v>
      </c>
    </row>
    <row r="8" spans="1:14" x14ac:dyDescent="0.2">
      <c r="A8">
        <v>14</v>
      </c>
      <c r="B8">
        <v>413.3</v>
      </c>
      <c r="C8">
        <v>58.2</v>
      </c>
      <c r="D8">
        <v>396.4</v>
      </c>
      <c r="E8">
        <v>55</v>
      </c>
      <c r="F8">
        <v>382.2</v>
      </c>
      <c r="G8">
        <v>36</v>
      </c>
      <c r="H8">
        <v>351.7</v>
      </c>
      <c r="I8">
        <v>32.700000000000003</v>
      </c>
      <c r="J8" s="1">
        <f t="shared" si="0"/>
        <v>0.5945454545454546</v>
      </c>
      <c r="K8">
        <v>1</v>
      </c>
      <c r="L8" s="1">
        <f t="shared" si="1"/>
        <v>0.95910960561335579</v>
      </c>
      <c r="M8" s="1">
        <f t="shared" si="2"/>
        <v>0.92475199612872006</v>
      </c>
      <c r="N8" s="1">
        <f t="shared" si="3"/>
        <v>0.85095572223566407</v>
      </c>
    </row>
    <row r="9" spans="1:14" x14ac:dyDescent="0.2">
      <c r="A9">
        <v>16</v>
      </c>
      <c r="B9">
        <v>448.1</v>
      </c>
      <c r="C9">
        <v>71.2</v>
      </c>
      <c r="D9">
        <v>433.6</v>
      </c>
      <c r="E9">
        <v>68.400000000000006</v>
      </c>
      <c r="F9">
        <v>409.6</v>
      </c>
      <c r="G9">
        <v>41.8</v>
      </c>
      <c r="H9">
        <v>388.1</v>
      </c>
      <c r="I9">
        <v>40.200000000000003</v>
      </c>
      <c r="J9" s="1">
        <f t="shared" si="0"/>
        <v>0.58771929824561397</v>
      </c>
      <c r="K9">
        <v>1</v>
      </c>
      <c r="L9" s="1">
        <f t="shared" si="1"/>
        <v>0.96764115152867669</v>
      </c>
      <c r="M9" s="1">
        <f t="shared" si="2"/>
        <v>0.91408167819683106</v>
      </c>
      <c r="N9" s="1">
        <f t="shared" si="3"/>
        <v>0.86610131667038603</v>
      </c>
    </row>
    <row r="10" spans="1:14" x14ac:dyDescent="0.2">
      <c r="A10">
        <v>18</v>
      </c>
      <c r="B10">
        <v>477.9</v>
      </c>
      <c r="C10">
        <v>75</v>
      </c>
      <c r="D10">
        <v>463.6</v>
      </c>
      <c r="E10">
        <v>71.3</v>
      </c>
      <c r="F10">
        <v>432.6</v>
      </c>
      <c r="G10">
        <v>43.7</v>
      </c>
      <c r="H10">
        <v>411.4</v>
      </c>
      <c r="I10">
        <v>41.2</v>
      </c>
      <c r="J10" s="1">
        <f t="shared" si="0"/>
        <v>0.57784011220196363</v>
      </c>
      <c r="K10">
        <v>1</v>
      </c>
      <c r="L10" s="1">
        <f t="shared" si="1"/>
        <v>0.97007742205482328</v>
      </c>
      <c r="M10" s="1">
        <f t="shared" si="2"/>
        <v>0.90521029504080364</v>
      </c>
      <c r="N10" s="1">
        <f t="shared" si="3"/>
        <v>0.86084955011508679</v>
      </c>
    </row>
    <row r="11" spans="1:14" x14ac:dyDescent="0.2">
      <c r="A11">
        <v>20</v>
      </c>
      <c r="B11">
        <v>506.9</v>
      </c>
      <c r="C11">
        <v>80.400000000000006</v>
      </c>
      <c r="D11">
        <v>491.8</v>
      </c>
      <c r="E11">
        <v>77.900000000000006</v>
      </c>
      <c r="F11">
        <v>458.9</v>
      </c>
      <c r="G11">
        <v>46.9</v>
      </c>
      <c r="H11">
        <v>438.4</v>
      </c>
      <c r="I11">
        <v>43.5</v>
      </c>
      <c r="J11" s="1">
        <f t="shared" si="0"/>
        <v>0.55840821566110399</v>
      </c>
      <c r="K11">
        <v>1</v>
      </c>
      <c r="L11" s="1">
        <f t="shared" si="1"/>
        <v>0.97021108699940828</v>
      </c>
      <c r="M11" s="1">
        <f t="shared" si="2"/>
        <v>0.90530676662063525</v>
      </c>
      <c r="N11" s="1">
        <f t="shared" si="3"/>
        <v>0.86486486486486491</v>
      </c>
    </row>
    <row r="12" spans="1:14" x14ac:dyDescent="0.2">
      <c r="A12">
        <v>22</v>
      </c>
      <c r="B12">
        <v>532.5</v>
      </c>
      <c r="C12">
        <v>90.9</v>
      </c>
      <c r="D12">
        <v>519.70000000000005</v>
      </c>
      <c r="E12">
        <v>86.5</v>
      </c>
      <c r="F12">
        <v>480.3</v>
      </c>
      <c r="G12">
        <v>52.2</v>
      </c>
      <c r="H12">
        <v>460.6</v>
      </c>
      <c r="I12">
        <v>48.7</v>
      </c>
      <c r="J12" s="1">
        <f t="shared" si="0"/>
        <v>0.56300578034682081</v>
      </c>
      <c r="K12">
        <v>1</v>
      </c>
      <c r="L12" s="1">
        <f t="shared" si="1"/>
        <v>0.97596244131455412</v>
      </c>
      <c r="M12" s="1">
        <f t="shared" si="2"/>
        <v>0.90197183098591549</v>
      </c>
      <c r="N12" s="1">
        <f t="shared" si="3"/>
        <v>0.86497652582159623</v>
      </c>
    </row>
    <row r="13" spans="1:14" x14ac:dyDescent="0.2">
      <c r="A13">
        <v>24</v>
      </c>
      <c r="B13">
        <v>562.6</v>
      </c>
      <c r="C13">
        <v>99.5</v>
      </c>
      <c r="D13">
        <v>547.70000000000005</v>
      </c>
      <c r="E13">
        <v>97.2</v>
      </c>
      <c r="F13">
        <v>498.3</v>
      </c>
      <c r="G13">
        <v>57.1</v>
      </c>
      <c r="H13">
        <v>482.3</v>
      </c>
      <c r="I13">
        <v>53.5</v>
      </c>
      <c r="J13" s="1">
        <f t="shared" si="0"/>
        <v>0.55041152263374482</v>
      </c>
      <c r="K13">
        <v>1</v>
      </c>
      <c r="L13" s="1">
        <f t="shared" si="1"/>
        <v>0.97351581940988274</v>
      </c>
      <c r="M13" s="1">
        <f t="shared" si="2"/>
        <v>0.88570920725204405</v>
      </c>
      <c r="N13" s="1">
        <f t="shared" si="3"/>
        <v>0.85726981869889796</v>
      </c>
    </row>
    <row r="14" spans="1:14" x14ac:dyDescent="0.2">
      <c r="A14">
        <v>26</v>
      </c>
      <c r="B14">
        <v>586.70000000000005</v>
      </c>
      <c r="C14">
        <v>108.9</v>
      </c>
      <c r="D14">
        <v>573.20000000000005</v>
      </c>
      <c r="E14">
        <v>105.3</v>
      </c>
      <c r="F14">
        <v>523.20000000000005</v>
      </c>
      <c r="G14">
        <v>62.1</v>
      </c>
      <c r="H14">
        <v>503.4</v>
      </c>
      <c r="I14">
        <v>60.1</v>
      </c>
      <c r="J14" s="1">
        <f t="shared" si="0"/>
        <v>0.57075023741690412</v>
      </c>
      <c r="K14">
        <v>1</v>
      </c>
      <c r="L14" s="1">
        <f t="shared" si="1"/>
        <v>0.97698994375319581</v>
      </c>
      <c r="M14" s="1">
        <f t="shared" si="2"/>
        <v>0.89176751320947678</v>
      </c>
      <c r="N14" s="1">
        <f t="shared" si="3"/>
        <v>0.85801943071416387</v>
      </c>
    </row>
    <row r="15" spans="1:14" x14ac:dyDescent="0.2">
      <c r="A15">
        <v>28</v>
      </c>
      <c r="B15">
        <v>611</v>
      </c>
      <c r="C15">
        <v>112.3</v>
      </c>
      <c r="D15">
        <v>598.70000000000005</v>
      </c>
      <c r="E15">
        <v>109.2</v>
      </c>
      <c r="F15">
        <v>539.29999999999995</v>
      </c>
      <c r="G15">
        <v>63.5</v>
      </c>
      <c r="H15">
        <v>523.9</v>
      </c>
      <c r="I15">
        <v>60.9</v>
      </c>
      <c r="J15" s="1">
        <f t="shared" si="0"/>
        <v>0.55769230769230771</v>
      </c>
      <c r="K15">
        <v>1</v>
      </c>
      <c r="L15" s="1">
        <f t="shared" si="1"/>
        <v>0.97986906710310973</v>
      </c>
      <c r="M15" s="1">
        <f t="shared" si="2"/>
        <v>0.8826513911620294</v>
      </c>
      <c r="N15" s="1">
        <f t="shared" si="3"/>
        <v>0.85744680851063826</v>
      </c>
    </row>
    <row r="16" spans="1:14" x14ac:dyDescent="0.2">
      <c r="A16">
        <v>30</v>
      </c>
      <c r="B16">
        <v>634.20000000000005</v>
      </c>
      <c r="C16">
        <v>120.4</v>
      </c>
      <c r="D16">
        <v>620.70000000000005</v>
      </c>
      <c r="E16">
        <v>117.1</v>
      </c>
      <c r="F16">
        <v>558.20000000000005</v>
      </c>
      <c r="G16">
        <v>68.099999999999994</v>
      </c>
      <c r="H16">
        <v>544</v>
      </c>
      <c r="I16">
        <v>66</v>
      </c>
      <c r="J16" s="1">
        <f t="shared" si="0"/>
        <v>0.56362083689154574</v>
      </c>
      <c r="K16">
        <v>1</v>
      </c>
      <c r="L16" s="1">
        <f t="shared" si="1"/>
        <v>0.97871333964049201</v>
      </c>
      <c r="M16" s="1">
        <f t="shared" si="2"/>
        <v>0.88016398612425106</v>
      </c>
      <c r="N16" s="1">
        <f t="shared" si="3"/>
        <v>0.85777357300536106</v>
      </c>
    </row>
    <row r="17" spans="1:14" x14ac:dyDescent="0.2">
      <c r="A17">
        <v>32</v>
      </c>
      <c r="B17">
        <v>662</v>
      </c>
      <c r="C17">
        <v>134.69999999999999</v>
      </c>
      <c r="D17">
        <v>648.6</v>
      </c>
      <c r="E17">
        <v>132</v>
      </c>
      <c r="F17">
        <v>580.6</v>
      </c>
      <c r="G17">
        <v>77</v>
      </c>
      <c r="H17">
        <v>562.79999999999995</v>
      </c>
      <c r="I17">
        <v>74.099999999999994</v>
      </c>
      <c r="J17" s="1">
        <f t="shared" si="0"/>
        <v>0.56136363636363629</v>
      </c>
      <c r="K17">
        <v>1</v>
      </c>
      <c r="L17" s="1">
        <f t="shared" si="1"/>
        <v>0.97975830815709974</v>
      </c>
      <c r="M17" s="1">
        <f t="shared" si="2"/>
        <v>0.87703927492447131</v>
      </c>
      <c r="N17" s="1">
        <f t="shared" si="3"/>
        <v>0.85015105740181263</v>
      </c>
    </row>
    <row r="18" spans="1:14" x14ac:dyDescent="0.2">
      <c r="A18">
        <v>34</v>
      </c>
      <c r="B18">
        <v>687.9</v>
      </c>
      <c r="C18">
        <v>146.1</v>
      </c>
      <c r="D18">
        <v>673.5</v>
      </c>
      <c r="E18">
        <v>141.6</v>
      </c>
      <c r="F18">
        <v>598.70000000000005</v>
      </c>
      <c r="G18">
        <v>83.6</v>
      </c>
      <c r="H18">
        <v>584.4</v>
      </c>
      <c r="I18">
        <v>80</v>
      </c>
      <c r="J18" s="1">
        <f t="shared" si="0"/>
        <v>0.56497175141242939</v>
      </c>
      <c r="K18">
        <v>1</v>
      </c>
      <c r="L18" s="1">
        <f t="shared" si="1"/>
        <v>0.97906672481465329</v>
      </c>
      <c r="M18" s="1">
        <f t="shared" si="2"/>
        <v>0.87032998982410248</v>
      </c>
      <c r="N18" s="1">
        <f t="shared" si="3"/>
        <v>0.84954208460532055</v>
      </c>
    </row>
    <row r="19" spans="1:14" x14ac:dyDescent="0.2">
      <c r="A19">
        <v>36</v>
      </c>
      <c r="B19">
        <v>710.9</v>
      </c>
      <c r="C19">
        <v>157.6</v>
      </c>
      <c r="D19">
        <v>700.2</v>
      </c>
      <c r="E19">
        <v>154.30000000000001</v>
      </c>
      <c r="F19">
        <v>615.9</v>
      </c>
      <c r="G19">
        <v>89.9</v>
      </c>
      <c r="H19">
        <v>602.9</v>
      </c>
      <c r="I19">
        <v>86.1</v>
      </c>
      <c r="J19" s="1">
        <f t="shared" si="0"/>
        <v>0.55800388852883986</v>
      </c>
      <c r="K19">
        <v>1</v>
      </c>
      <c r="L19" s="1">
        <f t="shared" si="1"/>
        <v>0.9849486566324378</v>
      </c>
      <c r="M19" s="1">
        <f t="shared" si="2"/>
        <v>0.8663665775777184</v>
      </c>
      <c r="N19" s="1">
        <f t="shared" si="3"/>
        <v>0.8480798987199325</v>
      </c>
    </row>
    <row r="20" spans="1:14" x14ac:dyDescent="0.2">
      <c r="A20">
        <v>38</v>
      </c>
      <c r="B20">
        <v>738.8</v>
      </c>
      <c r="C20">
        <v>164.7</v>
      </c>
      <c r="D20">
        <v>721</v>
      </c>
      <c r="E20">
        <v>161.1</v>
      </c>
      <c r="F20">
        <v>639</v>
      </c>
      <c r="G20">
        <v>96.1</v>
      </c>
      <c r="H20">
        <v>620.6</v>
      </c>
      <c r="I20">
        <v>90.8</v>
      </c>
      <c r="J20" s="1">
        <f t="shared" si="0"/>
        <v>0.563625077591558</v>
      </c>
      <c r="K20">
        <v>1</v>
      </c>
      <c r="L20" s="1">
        <f t="shared" si="1"/>
        <v>0.9759068760151598</v>
      </c>
      <c r="M20" s="1">
        <f t="shared" si="2"/>
        <v>0.86491608012994048</v>
      </c>
      <c r="N20" s="1">
        <f t="shared" si="3"/>
        <v>0.84001082837033036</v>
      </c>
    </row>
    <row r="21" spans="1:14" x14ac:dyDescent="0.2">
      <c r="A21">
        <v>40</v>
      </c>
      <c r="B21">
        <v>760.8</v>
      </c>
      <c r="C21">
        <v>175.2</v>
      </c>
      <c r="D21">
        <v>747.1</v>
      </c>
      <c r="E21">
        <v>173.2</v>
      </c>
      <c r="F21">
        <v>655.9</v>
      </c>
      <c r="G21">
        <v>99.7</v>
      </c>
      <c r="H21">
        <v>641</v>
      </c>
      <c r="I21">
        <v>97.2</v>
      </c>
      <c r="J21" s="1">
        <f t="shared" si="0"/>
        <v>0.56120092378752895</v>
      </c>
      <c r="K21">
        <v>1</v>
      </c>
      <c r="L21" s="1">
        <f t="shared" si="1"/>
        <v>0.9819926393270243</v>
      </c>
      <c r="M21" s="1">
        <f t="shared" si="2"/>
        <v>0.86211882229232384</v>
      </c>
      <c r="N21" s="1">
        <f t="shared" si="3"/>
        <v>0.84253417455310209</v>
      </c>
    </row>
    <row r="22" spans="1:14" x14ac:dyDescent="0.2">
      <c r="A22">
        <v>60</v>
      </c>
      <c r="B22">
        <v>1011.9</v>
      </c>
      <c r="C22">
        <v>324.89999999999998</v>
      </c>
      <c r="D22">
        <v>996.4</v>
      </c>
      <c r="E22">
        <v>316.60000000000002</v>
      </c>
      <c r="F22">
        <v>845.7</v>
      </c>
      <c r="G22">
        <v>189.9</v>
      </c>
      <c r="H22">
        <v>831.5</v>
      </c>
      <c r="I22">
        <v>183</v>
      </c>
      <c r="J22" s="1">
        <f t="shared" si="0"/>
        <v>0.57801642451042323</v>
      </c>
      <c r="K22">
        <v>1</v>
      </c>
      <c r="L22" s="1">
        <f t="shared" si="1"/>
        <v>0.9846822808577923</v>
      </c>
      <c r="M22" s="1">
        <f t="shared" si="2"/>
        <v>0.83575452119774685</v>
      </c>
      <c r="N22" s="1">
        <f t="shared" si="3"/>
        <v>0.82172151398359528</v>
      </c>
    </row>
    <row r="23" spans="1:14" x14ac:dyDescent="0.2">
      <c r="A23">
        <v>80</v>
      </c>
      <c r="B23">
        <v>1248.8</v>
      </c>
      <c r="C23">
        <v>507.9</v>
      </c>
      <c r="D23">
        <v>1230.2</v>
      </c>
      <c r="E23">
        <v>496.2</v>
      </c>
      <c r="F23">
        <v>1027.0999999999999</v>
      </c>
      <c r="G23">
        <v>298.60000000000002</v>
      </c>
      <c r="H23">
        <v>1009.4</v>
      </c>
      <c r="I23">
        <v>292</v>
      </c>
      <c r="J23" s="1">
        <f t="shared" si="0"/>
        <v>0.58847239016525599</v>
      </c>
      <c r="K23">
        <v>1</v>
      </c>
      <c r="L23" s="1">
        <f t="shared" si="1"/>
        <v>0.98510570147341459</v>
      </c>
      <c r="M23" s="1">
        <f t="shared" si="2"/>
        <v>0.82246957078795635</v>
      </c>
      <c r="N23" s="1">
        <f t="shared" si="3"/>
        <v>0.8082959641255606</v>
      </c>
    </row>
    <row r="24" spans="1:14" x14ac:dyDescent="0.2">
      <c r="A24">
        <v>100</v>
      </c>
      <c r="B24">
        <v>1490.7</v>
      </c>
      <c r="C24">
        <v>690.7</v>
      </c>
      <c r="D24">
        <v>1469.4</v>
      </c>
      <c r="E24">
        <v>678.6</v>
      </c>
      <c r="F24">
        <v>1202.5</v>
      </c>
      <c r="G24">
        <v>412.7</v>
      </c>
      <c r="H24">
        <v>1191</v>
      </c>
      <c r="I24">
        <v>403.2</v>
      </c>
      <c r="J24" s="1">
        <f t="shared" si="0"/>
        <v>0.59416445623342173</v>
      </c>
      <c r="K24">
        <v>1</v>
      </c>
      <c r="L24" s="1">
        <f t="shared" si="1"/>
        <v>0.98571141074662916</v>
      </c>
      <c r="M24" s="1">
        <f t="shared" si="2"/>
        <v>0.8066680083182397</v>
      </c>
      <c r="N24" s="1">
        <f t="shared" si="3"/>
        <v>0.79895351177299256</v>
      </c>
    </row>
    <row r="25" spans="1:14" x14ac:dyDescent="0.2">
      <c r="A25">
        <v>120</v>
      </c>
      <c r="B25">
        <v>1744.6</v>
      </c>
      <c r="C25">
        <v>913.1</v>
      </c>
      <c r="D25">
        <v>1717.4</v>
      </c>
      <c r="E25">
        <v>898</v>
      </c>
      <c r="F25">
        <v>1390.7</v>
      </c>
      <c r="G25">
        <v>546.20000000000005</v>
      </c>
      <c r="H25">
        <v>1373.1</v>
      </c>
      <c r="I25">
        <v>536.5</v>
      </c>
      <c r="J25" s="1">
        <f t="shared" si="0"/>
        <v>0.59743875278396441</v>
      </c>
      <c r="K25">
        <v>1</v>
      </c>
      <c r="L25" s="1">
        <f t="shared" si="1"/>
        <v>0.9844090335893616</v>
      </c>
      <c r="M25" s="1">
        <f t="shared" si="2"/>
        <v>0.79714547747334641</v>
      </c>
      <c r="N25" s="1">
        <f t="shared" si="3"/>
        <v>0.787057205089992</v>
      </c>
    </row>
    <row r="26" spans="1:14" x14ac:dyDescent="0.2">
      <c r="A26">
        <v>140</v>
      </c>
      <c r="B26">
        <v>1978.9</v>
      </c>
      <c r="C26">
        <v>1249.8</v>
      </c>
      <c r="D26">
        <v>1956.4</v>
      </c>
      <c r="E26">
        <v>1231.5</v>
      </c>
      <c r="F26">
        <v>1562.4</v>
      </c>
      <c r="G26">
        <v>753.7</v>
      </c>
      <c r="H26">
        <v>1552.3</v>
      </c>
      <c r="I26">
        <v>737.3</v>
      </c>
      <c r="J26" s="1">
        <f t="shared" si="0"/>
        <v>0.59870077141697109</v>
      </c>
      <c r="K26">
        <v>1</v>
      </c>
      <c r="L26" s="1">
        <f t="shared" si="1"/>
        <v>0.9886300469958057</v>
      </c>
      <c r="M26" s="1">
        <f t="shared" si="2"/>
        <v>0.78952953661124869</v>
      </c>
      <c r="N26" s="1">
        <f t="shared" si="3"/>
        <v>0.78442569104047699</v>
      </c>
    </row>
    <row r="27" spans="1:14" x14ac:dyDescent="0.2">
      <c r="A27">
        <v>160</v>
      </c>
      <c r="B27">
        <v>2219.3000000000002</v>
      </c>
      <c r="C27">
        <v>1496.2</v>
      </c>
      <c r="D27">
        <v>2194.1999999999998</v>
      </c>
      <c r="E27">
        <v>1483.1</v>
      </c>
      <c r="F27">
        <v>1740</v>
      </c>
      <c r="G27">
        <v>901.3</v>
      </c>
      <c r="H27">
        <v>1721.9</v>
      </c>
      <c r="I27">
        <v>884.9</v>
      </c>
      <c r="J27" s="1">
        <f t="shared" si="0"/>
        <v>0.59665565369833462</v>
      </c>
      <c r="K27">
        <v>1</v>
      </c>
      <c r="L27" s="1">
        <f t="shared" si="1"/>
        <v>0.98869012751768559</v>
      </c>
      <c r="M27" s="1">
        <f t="shared" si="2"/>
        <v>0.78403100076600718</v>
      </c>
      <c r="N27" s="1">
        <f t="shared" si="3"/>
        <v>0.77587527598792405</v>
      </c>
    </row>
    <row r="28" spans="1:14" x14ac:dyDescent="0.2">
      <c r="A28">
        <v>180</v>
      </c>
      <c r="B28">
        <v>2464.8000000000002</v>
      </c>
      <c r="C28">
        <v>1954.2</v>
      </c>
      <c r="D28">
        <v>2428.6</v>
      </c>
      <c r="E28">
        <v>1928.2</v>
      </c>
      <c r="F28">
        <v>1915.6</v>
      </c>
      <c r="G28">
        <v>1161.2</v>
      </c>
      <c r="H28">
        <v>1898.3</v>
      </c>
      <c r="I28">
        <v>1144.0999999999999</v>
      </c>
      <c r="J28" s="1">
        <f t="shared" si="0"/>
        <v>0.59335131210455339</v>
      </c>
      <c r="K28">
        <v>1</v>
      </c>
      <c r="L28" s="1">
        <f t="shared" si="1"/>
        <v>0.9853132099967542</v>
      </c>
      <c r="M28" s="1">
        <f t="shared" si="2"/>
        <v>0.77718273287893536</v>
      </c>
      <c r="N28" s="1">
        <f t="shared" si="3"/>
        <v>0.77016390782213562</v>
      </c>
    </row>
    <row r="29" spans="1:14" x14ac:dyDescent="0.2">
      <c r="A29">
        <v>200</v>
      </c>
      <c r="B29">
        <v>2697.7</v>
      </c>
      <c r="C29">
        <v>2409.4</v>
      </c>
      <c r="D29">
        <v>2667.5</v>
      </c>
      <c r="E29">
        <v>2375.6999999999998</v>
      </c>
      <c r="F29">
        <v>2083.5</v>
      </c>
      <c r="G29">
        <v>1419.4</v>
      </c>
      <c r="H29">
        <v>2070.6</v>
      </c>
      <c r="I29">
        <v>1404.1</v>
      </c>
      <c r="J29" s="1">
        <f t="shared" si="0"/>
        <v>0.59102580292124429</v>
      </c>
      <c r="K29">
        <v>1</v>
      </c>
      <c r="L29" s="1">
        <f t="shared" si="1"/>
        <v>0.98880527857063427</v>
      </c>
      <c r="M29" s="1">
        <f t="shared" si="2"/>
        <v>0.77232457278422362</v>
      </c>
      <c r="N29" s="1">
        <f t="shared" si="3"/>
        <v>0.76754272157764025</v>
      </c>
    </row>
    <row r="30" spans="1:14" x14ac:dyDescent="0.2">
      <c r="A30">
        <v>300</v>
      </c>
      <c r="B30">
        <v>3905.7</v>
      </c>
      <c r="C30">
        <v>4674.6000000000004</v>
      </c>
      <c r="D30">
        <v>3850.5</v>
      </c>
      <c r="E30">
        <v>4608.6000000000004</v>
      </c>
      <c r="F30">
        <v>2940.6</v>
      </c>
      <c r="G30">
        <v>2660</v>
      </c>
      <c r="H30">
        <v>2924.1</v>
      </c>
      <c r="I30">
        <v>2614.4</v>
      </c>
      <c r="J30" s="1">
        <f t="shared" si="0"/>
        <v>0.56728724558434229</v>
      </c>
      <c r="K30">
        <v>1</v>
      </c>
      <c r="L30" s="1">
        <f t="shared" ref="L30:L37" si="4">D30/B30</f>
        <v>0.98586681004685461</v>
      </c>
      <c r="M30" s="1">
        <f t="shared" ref="M30:M37" si="5">F30/B30</f>
        <v>0.7528996082648437</v>
      </c>
      <c r="N30" s="1">
        <f t="shared" ref="N30:N37" si="6">H30/B30</f>
        <v>0.74867501344189258</v>
      </c>
    </row>
    <row r="31" spans="1:14" x14ac:dyDescent="0.2">
      <c r="A31">
        <v>400</v>
      </c>
      <c r="B31">
        <v>5057.3999999999996</v>
      </c>
      <c r="C31">
        <v>8694.9</v>
      </c>
      <c r="D31">
        <v>5012.8999999999996</v>
      </c>
      <c r="E31">
        <v>8637.7000000000007</v>
      </c>
      <c r="F31">
        <v>3755.2</v>
      </c>
      <c r="G31">
        <v>4622.1000000000004</v>
      </c>
      <c r="H31">
        <v>3741.5</v>
      </c>
      <c r="I31">
        <v>4583.7</v>
      </c>
      <c r="J31" s="1">
        <f t="shared" si="0"/>
        <v>0.53066209754911597</v>
      </c>
      <c r="K31">
        <v>1</v>
      </c>
      <c r="L31" s="1">
        <f t="shared" si="4"/>
        <v>0.9912010123779017</v>
      </c>
      <c r="M31" s="1">
        <f t="shared" si="5"/>
        <v>0.74251591726974331</v>
      </c>
      <c r="N31" s="1">
        <f t="shared" si="6"/>
        <v>0.73980701546249061</v>
      </c>
    </row>
    <row r="32" spans="1:14" x14ac:dyDescent="0.2">
      <c r="A32">
        <v>500</v>
      </c>
      <c r="B32">
        <v>6256.8</v>
      </c>
      <c r="C32">
        <v>14207.6</v>
      </c>
      <c r="D32">
        <v>6192</v>
      </c>
      <c r="E32">
        <v>14060.9</v>
      </c>
      <c r="F32">
        <v>4577.8</v>
      </c>
      <c r="G32">
        <v>7094.9</v>
      </c>
      <c r="H32">
        <v>4568</v>
      </c>
      <c r="I32">
        <v>7060.2</v>
      </c>
      <c r="J32" s="1">
        <f t="shared" si="0"/>
        <v>0.50211579628615521</v>
      </c>
      <c r="K32">
        <v>1</v>
      </c>
      <c r="L32" s="1">
        <f t="shared" si="4"/>
        <v>0.98964326812428072</v>
      </c>
      <c r="M32" s="1">
        <f t="shared" si="5"/>
        <v>0.73165196266462085</v>
      </c>
      <c r="N32" s="1">
        <f t="shared" si="6"/>
        <v>0.73008566679452758</v>
      </c>
    </row>
    <row r="33" spans="1:14" x14ac:dyDescent="0.2">
      <c r="A33">
        <v>600</v>
      </c>
      <c r="B33">
        <v>7400.4</v>
      </c>
      <c r="C33">
        <v>20053.2</v>
      </c>
      <c r="D33">
        <v>7331</v>
      </c>
      <c r="E33">
        <v>19810</v>
      </c>
      <c r="F33">
        <v>5367.1</v>
      </c>
      <c r="G33">
        <v>9489.7999999999993</v>
      </c>
      <c r="H33">
        <v>5349.8</v>
      </c>
      <c r="I33">
        <v>9448.1</v>
      </c>
      <c r="J33" s="1">
        <f t="shared" si="0"/>
        <v>0.47693589096415956</v>
      </c>
      <c r="K33">
        <v>1</v>
      </c>
      <c r="L33" s="1">
        <f t="shared" si="4"/>
        <v>0.99062212853359288</v>
      </c>
      <c r="M33" s="1">
        <f t="shared" si="5"/>
        <v>0.72524458137397985</v>
      </c>
      <c r="N33" s="1">
        <f t="shared" si="6"/>
        <v>0.7229068698989245</v>
      </c>
    </row>
    <row r="34" spans="1:14" x14ac:dyDescent="0.2">
      <c r="A34">
        <v>700</v>
      </c>
      <c r="B34">
        <v>8569.2999999999993</v>
      </c>
      <c r="C34">
        <v>28853.7</v>
      </c>
      <c r="D34">
        <v>8496</v>
      </c>
      <c r="E34">
        <v>28522.5</v>
      </c>
      <c r="F34">
        <v>6156.6</v>
      </c>
      <c r="G34">
        <v>12892.9</v>
      </c>
      <c r="H34">
        <v>6143.6</v>
      </c>
      <c r="I34">
        <v>12874.3</v>
      </c>
      <c r="J34" s="1">
        <f t="shared" si="0"/>
        <v>0.4513734770794986</v>
      </c>
      <c r="K34">
        <v>1</v>
      </c>
      <c r="L34" s="1">
        <f t="shared" si="4"/>
        <v>0.99144620914193704</v>
      </c>
      <c r="M34" s="1">
        <f t="shared" si="5"/>
        <v>0.71844841468964804</v>
      </c>
      <c r="N34" s="1">
        <f t="shared" si="6"/>
        <v>0.7169313712905373</v>
      </c>
    </row>
    <row r="35" spans="1:14" x14ac:dyDescent="0.2">
      <c r="A35">
        <v>800</v>
      </c>
      <c r="B35">
        <v>9745.6</v>
      </c>
      <c r="C35">
        <v>38329</v>
      </c>
      <c r="D35">
        <v>9663.6</v>
      </c>
      <c r="E35">
        <v>37986.6</v>
      </c>
      <c r="F35">
        <v>6935.3</v>
      </c>
      <c r="G35">
        <v>16296.9</v>
      </c>
      <c r="H35">
        <v>6929.5</v>
      </c>
      <c r="I35">
        <v>16271.5</v>
      </c>
      <c r="J35" s="1">
        <f t="shared" si="0"/>
        <v>0.42834841759989051</v>
      </c>
      <c r="K35">
        <v>1</v>
      </c>
      <c r="L35" s="1">
        <f t="shared" si="4"/>
        <v>0.99158594647841081</v>
      </c>
      <c r="M35" s="1">
        <f t="shared" si="5"/>
        <v>0.71163396814972912</v>
      </c>
      <c r="N35" s="1">
        <f t="shared" si="6"/>
        <v>0.71103882777868987</v>
      </c>
    </row>
    <row r="36" spans="1:14" x14ac:dyDescent="0.2">
      <c r="A36">
        <v>900</v>
      </c>
      <c r="B36">
        <v>10863.1</v>
      </c>
      <c r="C36">
        <v>52815.9</v>
      </c>
      <c r="D36">
        <v>10758.1</v>
      </c>
      <c r="E36">
        <v>52415.8</v>
      </c>
      <c r="F36">
        <v>7679</v>
      </c>
      <c r="G36">
        <v>21394.5</v>
      </c>
      <c r="H36">
        <v>7660.7</v>
      </c>
      <c r="I36">
        <v>21262</v>
      </c>
      <c r="J36" s="1">
        <f t="shared" si="0"/>
        <v>0.40564104716516775</v>
      </c>
      <c r="K36">
        <v>1</v>
      </c>
      <c r="L36" s="1">
        <f t="shared" si="4"/>
        <v>0.99033425081238324</v>
      </c>
      <c r="M36" s="1">
        <f t="shared" si="5"/>
        <v>0.70688845725437488</v>
      </c>
      <c r="N36" s="1">
        <f t="shared" si="6"/>
        <v>0.70520385525310447</v>
      </c>
    </row>
    <row r="37" spans="1:14" x14ac:dyDescent="0.2">
      <c r="A37">
        <v>1000</v>
      </c>
      <c r="B37">
        <v>12027.2</v>
      </c>
      <c r="C37">
        <v>65765</v>
      </c>
      <c r="D37">
        <v>11920.5</v>
      </c>
      <c r="E37">
        <v>65112.6</v>
      </c>
      <c r="F37">
        <v>8444.2000000000007</v>
      </c>
      <c r="G37">
        <v>25221.8</v>
      </c>
      <c r="H37">
        <v>8436.2999999999993</v>
      </c>
      <c r="I37">
        <v>25142.799999999999</v>
      </c>
      <c r="J37" s="1">
        <f t="shared" si="0"/>
        <v>0.38614338853002339</v>
      </c>
      <c r="K37">
        <v>1</v>
      </c>
      <c r="L37" s="1">
        <f t="shared" si="4"/>
        <v>0.99112844219768514</v>
      </c>
      <c r="M37" s="1">
        <f t="shared" si="5"/>
        <v>0.70209192497006789</v>
      </c>
      <c r="N37" s="1">
        <f t="shared" si="6"/>
        <v>0.70143508048423564</v>
      </c>
    </row>
    <row r="38" spans="1:14" x14ac:dyDescent="0.2">
      <c r="J38" s="1"/>
    </row>
    <row r="39" spans="1:14" x14ac:dyDescent="0.2">
      <c r="J39" s="1"/>
    </row>
    <row r="40" spans="1:14" x14ac:dyDescent="0.2">
      <c r="J40" s="1"/>
    </row>
    <row r="41" spans="1:14" x14ac:dyDescent="0.2">
      <c r="J41" s="1"/>
    </row>
    <row r="42" spans="1:14" x14ac:dyDescent="0.2">
      <c r="J42" s="1"/>
    </row>
    <row r="43" spans="1:14" x14ac:dyDescent="0.2">
      <c r="J43" s="1"/>
    </row>
    <row r="44" spans="1:14" x14ac:dyDescent="0.2">
      <c r="J44" s="1"/>
    </row>
    <row r="45" spans="1:14" x14ac:dyDescent="0.2">
      <c r="J45" s="1"/>
    </row>
    <row r="46" spans="1:14" x14ac:dyDescent="0.2">
      <c r="J46" s="1"/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5B7E4-F8A4-9D49-970A-38F9C1EDEF22}">
  <dimension ref="A1:N46"/>
  <sheetViews>
    <sheetView workbookViewId="0">
      <selection activeCell="I26" sqref="I26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67</v>
      </c>
      <c r="K1" t="s">
        <v>60</v>
      </c>
      <c r="L1" t="s">
        <v>61</v>
      </c>
      <c r="M1" t="s">
        <v>5</v>
      </c>
      <c r="N1" t="s">
        <v>57</v>
      </c>
    </row>
    <row r="2" spans="1:14" x14ac:dyDescent="0.2">
      <c r="A2">
        <v>2</v>
      </c>
      <c r="B2">
        <v>41.8</v>
      </c>
      <c r="C2">
        <v>14.4</v>
      </c>
      <c r="D2">
        <v>39.799999999999997</v>
      </c>
      <c r="E2">
        <v>12.8</v>
      </c>
      <c r="F2">
        <v>58.1</v>
      </c>
      <c r="G2">
        <v>12.9</v>
      </c>
      <c r="H2">
        <v>41.3</v>
      </c>
      <c r="I2">
        <v>11.1</v>
      </c>
      <c r="J2" s="1">
        <f t="shared" ref="J2:J37" si="0">I2/E2</f>
        <v>0.86718749999999989</v>
      </c>
      <c r="K2">
        <v>1</v>
      </c>
      <c r="L2" s="1">
        <f t="shared" ref="L2:L37" si="1">D2/B2</f>
        <v>0.95215311004784686</v>
      </c>
      <c r="M2" s="1">
        <f t="shared" ref="M2:M37" si="2">F2/B2</f>
        <v>1.389952153110048</v>
      </c>
      <c r="N2" s="1">
        <f t="shared" ref="N2:N37" si="3">H2/B2</f>
        <v>0.98803827751196172</v>
      </c>
    </row>
    <row r="3" spans="1:14" x14ac:dyDescent="0.2">
      <c r="A3">
        <v>4</v>
      </c>
      <c r="B3">
        <v>73.099999999999994</v>
      </c>
      <c r="C3">
        <v>21.4</v>
      </c>
      <c r="D3">
        <v>68</v>
      </c>
      <c r="E3">
        <v>19.7</v>
      </c>
      <c r="F3">
        <v>86.7</v>
      </c>
      <c r="G3">
        <v>17.7</v>
      </c>
      <c r="H3">
        <v>63.1</v>
      </c>
      <c r="I3">
        <v>14.8</v>
      </c>
      <c r="J3" s="1">
        <f t="shared" si="0"/>
        <v>0.75126903553299496</v>
      </c>
      <c r="K3">
        <v>1</v>
      </c>
      <c r="L3" s="1">
        <f t="shared" si="1"/>
        <v>0.93023255813953498</v>
      </c>
      <c r="M3" s="1">
        <f t="shared" si="2"/>
        <v>1.1860465116279071</v>
      </c>
      <c r="N3" s="1">
        <f t="shared" si="3"/>
        <v>0.86320109439124493</v>
      </c>
    </row>
    <row r="4" spans="1:14" x14ac:dyDescent="0.2">
      <c r="A4">
        <v>6</v>
      </c>
      <c r="B4">
        <v>106.1</v>
      </c>
      <c r="C4">
        <v>27.8</v>
      </c>
      <c r="D4">
        <v>98.8</v>
      </c>
      <c r="E4">
        <v>25.1</v>
      </c>
      <c r="F4">
        <v>117.5</v>
      </c>
      <c r="G4">
        <v>19.600000000000001</v>
      </c>
      <c r="H4">
        <v>93.4</v>
      </c>
      <c r="I4">
        <v>17.3</v>
      </c>
      <c r="J4" s="1">
        <f t="shared" si="0"/>
        <v>0.68924302788844616</v>
      </c>
      <c r="K4">
        <v>1</v>
      </c>
      <c r="L4" s="1">
        <f t="shared" si="1"/>
        <v>0.93119698397737982</v>
      </c>
      <c r="M4" s="1">
        <f t="shared" si="2"/>
        <v>1.1074458058435439</v>
      </c>
      <c r="N4" s="1">
        <f t="shared" si="3"/>
        <v>0.88030160226201704</v>
      </c>
    </row>
    <row r="5" spans="1:14" x14ac:dyDescent="0.2">
      <c r="A5">
        <v>8</v>
      </c>
      <c r="B5">
        <v>131.80000000000001</v>
      </c>
      <c r="C5">
        <v>34.5</v>
      </c>
      <c r="D5">
        <v>126.2</v>
      </c>
      <c r="E5">
        <v>31.6</v>
      </c>
      <c r="F5">
        <v>141.1</v>
      </c>
      <c r="G5">
        <v>23.5</v>
      </c>
      <c r="H5">
        <v>125.4</v>
      </c>
      <c r="I5">
        <v>20.2</v>
      </c>
      <c r="J5" s="1">
        <f t="shared" si="0"/>
        <v>0.63924050632911389</v>
      </c>
      <c r="K5">
        <v>1</v>
      </c>
      <c r="L5" s="1">
        <f t="shared" si="1"/>
        <v>0.95751138088012133</v>
      </c>
      <c r="M5" s="1">
        <f t="shared" si="2"/>
        <v>1.0705614567526553</v>
      </c>
      <c r="N5" s="1">
        <f t="shared" si="3"/>
        <v>0.95144157814871011</v>
      </c>
    </row>
    <row r="6" spans="1:14" x14ac:dyDescent="0.2">
      <c r="A6">
        <v>10</v>
      </c>
      <c r="B6">
        <v>145.30000000000001</v>
      </c>
      <c r="C6">
        <v>39.200000000000003</v>
      </c>
      <c r="D6">
        <v>144.4</v>
      </c>
      <c r="E6">
        <v>37.1</v>
      </c>
      <c r="F6">
        <v>159.5</v>
      </c>
      <c r="G6">
        <v>25.4</v>
      </c>
      <c r="H6">
        <v>143.19999999999999</v>
      </c>
      <c r="I6">
        <v>22.9</v>
      </c>
      <c r="J6" s="1">
        <f t="shared" si="0"/>
        <v>0.61725067385444743</v>
      </c>
      <c r="K6">
        <v>1</v>
      </c>
      <c r="L6" s="1">
        <f t="shared" si="1"/>
        <v>0.99380591878871294</v>
      </c>
      <c r="M6" s="1">
        <f t="shared" si="2"/>
        <v>1.0977288368891946</v>
      </c>
      <c r="N6" s="1">
        <f t="shared" si="3"/>
        <v>0.98554714384033015</v>
      </c>
    </row>
    <row r="7" spans="1:14" x14ac:dyDescent="0.2">
      <c r="A7">
        <v>12</v>
      </c>
      <c r="B7">
        <v>159.5</v>
      </c>
      <c r="C7">
        <v>46.7</v>
      </c>
      <c r="D7">
        <v>161</v>
      </c>
      <c r="E7">
        <v>44.5</v>
      </c>
      <c r="F7">
        <v>175.7</v>
      </c>
      <c r="G7">
        <v>28.8</v>
      </c>
      <c r="H7">
        <v>162.5</v>
      </c>
      <c r="I7">
        <v>26</v>
      </c>
      <c r="J7" s="1">
        <f t="shared" si="0"/>
        <v>0.5842696629213483</v>
      </c>
      <c r="K7">
        <v>1</v>
      </c>
      <c r="L7" s="1">
        <f t="shared" si="1"/>
        <v>1.0094043887147335</v>
      </c>
      <c r="M7" s="1">
        <f t="shared" si="2"/>
        <v>1.1015673981191221</v>
      </c>
      <c r="N7" s="1">
        <f t="shared" si="3"/>
        <v>1.0188087774294672</v>
      </c>
    </row>
    <row r="8" spans="1:14" x14ac:dyDescent="0.2">
      <c r="A8">
        <v>14</v>
      </c>
      <c r="B8">
        <v>168.6</v>
      </c>
      <c r="C8">
        <v>58.2</v>
      </c>
      <c r="D8">
        <v>169.3</v>
      </c>
      <c r="E8">
        <v>55</v>
      </c>
      <c r="F8">
        <v>188</v>
      </c>
      <c r="G8">
        <v>36</v>
      </c>
      <c r="H8">
        <v>178.1</v>
      </c>
      <c r="I8">
        <v>32.700000000000003</v>
      </c>
      <c r="J8" s="1">
        <f t="shared" si="0"/>
        <v>0.5945454545454546</v>
      </c>
      <c r="K8">
        <v>1</v>
      </c>
      <c r="L8" s="1">
        <f t="shared" si="1"/>
        <v>1.0041518386714117</v>
      </c>
      <c r="M8" s="1">
        <f t="shared" si="2"/>
        <v>1.1150652431791221</v>
      </c>
      <c r="N8" s="1">
        <f t="shared" si="3"/>
        <v>1.0563463819691579</v>
      </c>
    </row>
    <row r="9" spans="1:14" x14ac:dyDescent="0.2">
      <c r="A9">
        <v>16</v>
      </c>
      <c r="B9">
        <v>180.8</v>
      </c>
      <c r="C9">
        <v>71.2</v>
      </c>
      <c r="D9">
        <v>182.1</v>
      </c>
      <c r="E9">
        <v>68.400000000000006</v>
      </c>
      <c r="F9">
        <v>204</v>
      </c>
      <c r="G9">
        <v>41.8</v>
      </c>
      <c r="H9">
        <v>192.8</v>
      </c>
      <c r="I9">
        <v>40.200000000000003</v>
      </c>
      <c r="J9" s="1">
        <f t="shared" si="0"/>
        <v>0.58771929824561397</v>
      </c>
      <c r="K9">
        <v>1</v>
      </c>
      <c r="L9" s="1">
        <f t="shared" si="1"/>
        <v>1.0071902654867255</v>
      </c>
      <c r="M9" s="1">
        <f t="shared" si="2"/>
        <v>1.1283185840707963</v>
      </c>
      <c r="N9" s="1">
        <f t="shared" si="3"/>
        <v>1.0663716814159292</v>
      </c>
    </row>
    <row r="10" spans="1:14" x14ac:dyDescent="0.2">
      <c r="A10">
        <v>18</v>
      </c>
      <c r="B10">
        <v>190.2</v>
      </c>
      <c r="C10">
        <v>75</v>
      </c>
      <c r="D10">
        <v>189.5</v>
      </c>
      <c r="E10">
        <v>71.3</v>
      </c>
      <c r="F10">
        <v>214.6</v>
      </c>
      <c r="G10">
        <v>43.7</v>
      </c>
      <c r="H10">
        <v>204.6</v>
      </c>
      <c r="I10">
        <v>41.2</v>
      </c>
      <c r="J10" s="1">
        <f t="shared" si="0"/>
        <v>0.57784011220196363</v>
      </c>
      <c r="K10">
        <v>1</v>
      </c>
      <c r="L10" s="1">
        <f t="shared" si="1"/>
        <v>0.99631966351209256</v>
      </c>
      <c r="M10" s="1">
        <f t="shared" si="2"/>
        <v>1.128286014721346</v>
      </c>
      <c r="N10" s="1">
        <f t="shared" si="3"/>
        <v>1.0757097791798107</v>
      </c>
    </row>
    <row r="11" spans="1:14" x14ac:dyDescent="0.2">
      <c r="A11">
        <v>20</v>
      </c>
      <c r="B11">
        <v>196.7</v>
      </c>
      <c r="C11">
        <v>80.400000000000006</v>
      </c>
      <c r="D11">
        <v>197.4</v>
      </c>
      <c r="E11">
        <v>77.900000000000006</v>
      </c>
      <c r="F11">
        <v>226.6</v>
      </c>
      <c r="G11">
        <v>46.9</v>
      </c>
      <c r="H11">
        <v>217.5</v>
      </c>
      <c r="I11">
        <v>43.5</v>
      </c>
      <c r="J11" s="1">
        <f t="shared" si="0"/>
        <v>0.55840821566110399</v>
      </c>
      <c r="K11">
        <v>1</v>
      </c>
      <c r="L11" s="1">
        <f t="shared" si="1"/>
        <v>1.0035587188612101</v>
      </c>
      <c r="M11" s="1">
        <f t="shared" si="2"/>
        <v>1.1520081342145398</v>
      </c>
      <c r="N11" s="1">
        <f t="shared" si="3"/>
        <v>1.1057447890188103</v>
      </c>
    </row>
    <row r="12" spans="1:14" x14ac:dyDescent="0.2">
      <c r="A12">
        <v>22</v>
      </c>
      <c r="B12">
        <v>203.6</v>
      </c>
      <c r="C12">
        <v>90.9</v>
      </c>
      <c r="D12">
        <v>204.7</v>
      </c>
      <c r="E12">
        <v>86.5</v>
      </c>
      <c r="F12">
        <v>236.7</v>
      </c>
      <c r="G12">
        <v>52.2</v>
      </c>
      <c r="H12">
        <v>230.4</v>
      </c>
      <c r="I12">
        <v>48.7</v>
      </c>
      <c r="J12" s="1">
        <f t="shared" si="0"/>
        <v>0.56300578034682081</v>
      </c>
      <c r="K12">
        <v>1</v>
      </c>
      <c r="L12" s="1">
        <f t="shared" si="1"/>
        <v>1.0054027504911591</v>
      </c>
      <c r="M12" s="1">
        <f t="shared" si="2"/>
        <v>1.1625736738703341</v>
      </c>
      <c r="N12" s="1">
        <f t="shared" si="3"/>
        <v>1.1316306483300591</v>
      </c>
    </row>
    <row r="13" spans="1:14" x14ac:dyDescent="0.2">
      <c r="A13">
        <v>24</v>
      </c>
      <c r="B13">
        <v>212.4</v>
      </c>
      <c r="C13">
        <v>99.5</v>
      </c>
      <c r="D13">
        <v>215.3</v>
      </c>
      <c r="E13">
        <v>97.2</v>
      </c>
      <c r="F13">
        <v>247.1</v>
      </c>
      <c r="G13">
        <v>57.1</v>
      </c>
      <c r="H13">
        <v>241.4</v>
      </c>
      <c r="I13">
        <v>53.5</v>
      </c>
      <c r="J13" s="1">
        <f t="shared" si="0"/>
        <v>0.55041152263374482</v>
      </c>
      <c r="K13">
        <v>1</v>
      </c>
      <c r="L13" s="1">
        <f t="shared" si="1"/>
        <v>1.0136534839924671</v>
      </c>
      <c r="M13" s="1">
        <f t="shared" si="2"/>
        <v>1.1633709981167608</v>
      </c>
      <c r="N13" s="1">
        <f t="shared" si="3"/>
        <v>1.1365348399246704</v>
      </c>
    </row>
    <row r="14" spans="1:14" x14ac:dyDescent="0.2">
      <c r="A14">
        <v>26</v>
      </c>
      <c r="B14">
        <v>218</v>
      </c>
      <c r="C14">
        <v>108.9</v>
      </c>
      <c r="D14">
        <v>222.5</v>
      </c>
      <c r="E14">
        <v>105.3</v>
      </c>
      <c r="F14">
        <v>259.2</v>
      </c>
      <c r="G14">
        <v>62.1</v>
      </c>
      <c r="H14">
        <v>249.5</v>
      </c>
      <c r="I14">
        <v>60.1</v>
      </c>
      <c r="J14" s="1">
        <f t="shared" si="0"/>
        <v>0.57075023741690412</v>
      </c>
      <c r="K14">
        <v>1</v>
      </c>
      <c r="L14" s="1">
        <f t="shared" si="1"/>
        <v>1.0206422018348624</v>
      </c>
      <c r="M14" s="1">
        <f t="shared" si="2"/>
        <v>1.1889908256880732</v>
      </c>
      <c r="N14" s="1">
        <f t="shared" si="3"/>
        <v>1.1444954128440368</v>
      </c>
    </row>
    <row r="15" spans="1:14" x14ac:dyDescent="0.2">
      <c r="A15">
        <v>28</v>
      </c>
      <c r="B15">
        <v>225</v>
      </c>
      <c r="C15">
        <v>112.3</v>
      </c>
      <c r="D15">
        <v>229.1</v>
      </c>
      <c r="E15">
        <v>109.2</v>
      </c>
      <c r="F15">
        <v>267.89999999999998</v>
      </c>
      <c r="G15">
        <v>63.5</v>
      </c>
      <c r="H15">
        <v>261.8</v>
      </c>
      <c r="I15">
        <v>60.9</v>
      </c>
      <c r="J15" s="1">
        <f t="shared" si="0"/>
        <v>0.55769230769230771</v>
      </c>
      <c r="K15">
        <v>1</v>
      </c>
      <c r="L15" s="1">
        <f t="shared" si="1"/>
        <v>1.0182222222222221</v>
      </c>
      <c r="M15" s="1">
        <f t="shared" si="2"/>
        <v>1.1906666666666665</v>
      </c>
      <c r="N15" s="1">
        <f t="shared" si="3"/>
        <v>1.1635555555555557</v>
      </c>
    </row>
    <row r="16" spans="1:14" x14ac:dyDescent="0.2">
      <c r="A16">
        <v>30</v>
      </c>
      <c r="B16">
        <v>232.7</v>
      </c>
      <c r="C16">
        <v>120.4</v>
      </c>
      <c r="D16">
        <v>237.1</v>
      </c>
      <c r="E16">
        <v>117.1</v>
      </c>
      <c r="F16">
        <v>276.5</v>
      </c>
      <c r="G16">
        <v>68.099999999999994</v>
      </c>
      <c r="H16">
        <v>271.3</v>
      </c>
      <c r="I16">
        <v>66</v>
      </c>
      <c r="J16" s="1">
        <f t="shared" si="0"/>
        <v>0.56362083689154574</v>
      </c>
      <c r="K16">
        <v>1</v>
      </c>
      <c r="L16" s="1">
        <f t="shared" si="1"/>
        <v>1.0189084658358403</v>
      </c>
      <c r="M16" s="1">
        <f t="shared" si="2"/>
        <v>1.1882251826385906</v>
      </c>
      <c r="N16" s="1">
        <f t="shared" si="3"/>
        <v>1.1658788139235068</v>
      </c>
    </row>
    <row r="17" spans="1:14" x14ac:dyDescent="0.2">
      <c r="A17">
        <v>32</v>
      </c>
      <c r="B17">
        <v>242.3</v>
      </c>
      <c r="C17">
        <v>134.69999999999999</v>
      </c>
      <c r="D17">
        <v>244.8</v>
      </c>
      <c r="E17">
        <v>132</v>
      </c>
      <c r="F17">
        <v>290.8</v>
      </c>
      <c r="G17">
        <v>77</v>
      </c>
      <c r="H17">
        <v>281.5</v>
      </c>
      <c r="I17">
        <v>74.099999999999994</v>
      </c>
      <c r="J17" s="1">
        <f t="shared" si="0"/>
        <v>0.56136363636363629</v>
      </c>
      <c r="K17">
        <v>1</v>
      </c>
      <c r="L17" s="1">
        <f t="shared" si="1"/>
        <v>1.0103177878662815</v>
      </c>
      <c r="M17" s="1">
        <f t="shared" si="2"/>
        <v>1.2001650846058605</v>
      </c>
      <c r="N17" s="1">
        <f t="shared" si="3"/>
        <v>1.1617829137432933</v>
      </c>
    </row>
    <row r="18" spans="1:14" x14ac:dyDescent="0.2">
      <c r="A18">
        <v>34</v>
      </c>
      <c r="B18">
        <v>247.5</v>
      </c>
      <c r="C18">
        <v>146.1</v>
      </c>
      <c r="D18">
        <v>250.9</v>
      </c>
      <c r="E18">
        <v>141.6</v>
      </c>
      <c r="F18">
        <v>297.60000000000002</v>
      </c>
      <c r="G18">
        <v>83.6</v>
      </c>
      <c r="H18">
        <v>292.2</v>
      </c>
      <c r="I18">
        <v>80</v>
      </c>
      <c r="J18" s="1">
        <f t="shared" si="0"/>
        <v>0.56497175141242939</v>
      </c>
      <c r="K18">
        <v>1</v>
      </c>
      <c r="L18" s="1">
        <f t="shared" si="1"/>
        <v>1.0137373737373738</v>
      </c>
      <c r="M18" s="1">
        <f t="shared" si="2"/>
        <v>1.2024242424242426</v>
      </c>
      <c r="N18" s="1">
        <f t="shared" si="3"/>
        <v>1.1806060606060607</v>
      </c>
    </row>
    <row r="19" spans="1:14" x14ac:dyDescent="0.2">
      <c r="A19">
        <v>36</v>
      </c>
      <c r="B19">
        <v>256.10000000000002</v>
      </c>
      <c r="C19">
        <v>157.6</v>
      </c>
      <c r="D19">
        <v>260</v>
      </c>
      <c r="E19">
        <v>154.30000000000001</v>
      </c>
      <c r="F19">
        <v>308.3</v>
      </c>
      <c r="G19">
        <v>89.9</v>
      </c>
      <c r="H19">
        <v>302.60000000000002</v>
      </c>
      <c r="I19">
        <v>86.1</v>
      </c>
      <c r="J19" s="1">
        <f t="shared" si="0"/>
        <v>0.55800388852883986</v>
      </c>
      <c r="K19">
        <v>1</v>
      </c>
      <c r="L19" s="1">
        <f t="shared" si="1"/>
        <v>1.015228426395939</v>
      </c>
      <c r="M19" s="1">
        <f t="shared" si="2"/>
        <v>1.2038266302225693</v>
      </c>
      <c r="N19" s="1">
        <f t="shared" si="3"/>
        <v>1.1815696993361968</v>
      </c>
    </row>
    <row r="20" spans="1:14" x14ac:dyDescent="0.2">
      <c r="A20">
        <v>38</v>
      </c>
      <c r="B20">
        <v>263.39999999999998</v>
      </c>
      <c r="C20">
        <v>164.7</v>
      </c>
      <c r="D20">
        <v>266.89999999999998</v>
      </c>
      <c r="E20">
        <v>161.1</v>
      </c>
      <c r="F20">
        <v>321</v>
      </c>
      <c r="G20">
        <v>96.1</v>
      </c>
      <c r="H20">
        <v>312.5</v>
      </c>
      <c r="I20">
        <v>90.8</v>
      </c>
      <c r="J20" s="1">
        <f t="shared" si="0"/>
        <v>0.563625077591558</v>
      </c>
      <c r="K20">
        <v>1</v>
      </c>
      <c r="L20" s="1">
        <f t="shared" si="1"/>
        <v>1.013287775246773</v>
      </c>
      <c r="M20" s="1">
        <f t="shared" si="2"/>
        <v>1.2186788154897494</v>
      </c>
      <c r="N20" s="1">
        <f t="shared" si="3"/>
        <v>1.1864085041761581</v>
      </c>
    </row>
    <row r="21" spans="1:14" x14ac:dyDescent="0.2">
      <c r="A21">
        <v>40</v>
      </c>
      <c r="B21">
        <v>270</v>
      </c>
      <c r="C21">
        <v>175.2</v>
      </c>
      <c r="D21">
        <v>275.8</v>
      </c>
      <c r="E21">
        <v>173.2</v>
      </c>
      <c r="F21">
        <v>330.7</v>
      </c>
      <c r="G21">
        <v>99.7</v>
      </c>
      <c r="H21">
        <v>321.8</v>
      </c>
      <c r="I21">
        <v>97.2</v>
      </c>
      <c r="J21" s="1">
        <f t="shared" si="0"/>
        <v>0.56120092378752895</v>
      </c>
      <c r="K21">
        <v>1</v>
      </c>
      <c r="L21" s="1">
        <f t="shared" si="1"/>
        <v>1.0214814814814814</v>
      </c>
      <c r="M21" s="1">
        <f t="shared" si="2"/>
        <v>1.2248148148148148</v>
      </c>
      <c r="N21" s="1">
        <f t="shared" si="3"/>
        <v>1.1918518518518519</v>
      </c>
    </row>
    <row r="22" spans="1:14" x14ac:dyDescent="0.2">
      <c r="A22">
        <v>60</v>
      </c>
      <c r="B22">
        <v>342.4</v>
      </c>
      <c r="C22">
        <v>324.89999999999998</v>
      </c>
      <c r="D22">
        <v>349.8</v>
      </c>
      <c r="E22">
        <v>316.60000000000002</v>
      </c>
      <c r="F22">
        <v>433.2</v>
      </c>
      <c r="G22">
        <v>189.9</v>
      </c>
      <c r="H22">
        <v>424.6</v>
      </c>
      <c r="I22">
        <v>183</v>
      </c>
      <c r="J22" s="1">
        <f t="shared" si="0"/>
        <v>0.57801642451042323</v>
      </c>
      <c r="K22">
        <v>1</v>
      </c>
      <c r="L22" s="1">
        <f t="shared" si="1"/>
        <v>1.0216121495327104</v>
      </c>
      <c r="M22" s="1">
        <f t="shared" si="2"/>
        <v>1.2651869158878506</v>
      </c>
      <c r="N22" s="1">
        <f t="shared" si="3"/>
        <v>1.2400700934579441</v>
      </c>
    </row>
    <row r="23" spans="1:14" x14ac:dyDescent="0.2">
      <c r="A23">
        <v>80</v>
      </c>
      <c r="B23">
        <v>409.9</v>
      </c>
      <c r="C23">
        <v>507.9</v>
      </c>
      <c r="D23">
        <v>423</v>
      </c>
      <c r="E23">
        <v>496.2</v>
      </c>
      <c r="F23">
        <v>529.70000000000005</v>
      </c>
      <c r="G23">
        <v>298.60000000000002</v>
      </c>
      <c r="H23">
        <v>517.6</v>
      </c>
      <c r="I23">
        <v>292</v>
      </c>
      <c r="J23" s="1">
        <f t="shared" si="0"/>
        <v>0.58847239016525599</v>
      </c>
      <c r="K23">
        <v>1</v>
      </c>
      <c r="L23" s="1">
        <f t="shared" si="1"/>
        <v>1.0319590143937547</v>
      </c>
      <c r="M23" s="1">
        <f t="shared" si="2"/>
        <v>1.2922664064405955</v>
      </c>
      <c r="N23" s="1">
        <f t="shared" si="3"/>
        <v>1.2627470114662114</v>
      </c>
    </row>
    <row r="24" spans="1:14" x14ac:dyDescent="0.2">
      <c r="A24">
        <v>100</v>
      </c>
      <c r="B24">
        <v>479.7</v>
      </c>
      <c r="C24">
        <v>690.7</v>
      </c>
      <c r="D24">
        <v>491.1</v>
      </c>
      <c r="E24">
        <v>678.6</v>
      </c>
      <c r="F24">
        <v>619</v>
      </c>
      <c r="G24">
        <v>412.7</v>
      </c>
      <c r="H24">
        <v>616.5</v>
      </c>
      <c r="I24">
        <v>403.2</v>
      </c>
      <c r="J24" s="1">
        <f t="shared" si="0"/>
        <v>0.59416445623342173</v>
      </c>
      <c r="K24">
        <v>1</v>
      </c>
      <c r="L24" s="1">
        <f t="shared" si="1"/>
        <v>1.0237648530331458</v>
      </c>
      <c r="M24" s="1">
        <f t="shared" si="2"/>
        <v>1.2903898269751928</v>
      </c>
      <c r="N24" s="1">
        <f t="shared" si="3"/>
        <v>1.2851782363977486</v>
      </c>
    </row>
    <row r="25" spans="1:14" x14ac:dyDescent="0.2">
      <c r="A25">
        <v>120</v>
      </c>
      <c r="B25">
        <v>560</v>
      </c>
      <c r="C25">
        <v>913.1</v>
      </c>
      <c r="D25">
        <v>567.29999999999995</v>
      </c>
      <c r="E25">
        <v>898</v>
      </c>
      <c r="F25">
        <v>723.1</v>
      </c>
      <c r="G25">
        <v>546.20000000000005</v>
      </c>
      <c r="H25">
        <v>714.8</v>
      </c>
      <c r="I25">
        <v>536.5</v>
      </c>
      <c r="J25" s="1">
        <f t="shared" si="0"/>
        <v>0.59743875278396441</v>
      </c>
      <c r="K25">
        <v>1</v>
      </c>
      <c r="L25" s="1">
        <f t="shared" si="1"/>
        <v>1.0130357142857143</v>
      </c>
      <c r="M25" s="1">
        <f t="shared" si="2"/>
        <v>1.29125</v>
      </c>
      <c r="N25" s="1">
        <f t="shared" si="3"/>
        <v>1.2764285714285712</v>
      </c>
    </row>
    <row r="26" spans="1:14" x14ac:dyDescent="0.2">
      <c r="A26">
        <v>140</v>
      </c>
      <c r="B26">
        <v>627</v>
      </c>
      <c r="C26">
        <v>1249.8</v>
      </c>
      <c r="D26">
        <v>642.20000000000005</v>
      </c>
      <c r="E26">
        <v>1231.5</v>
      </c>
      <c r="F26">
        <v>815.1</v>
      </c>
      <c r="G26">
        <v>753.7</v>
      </c>
      <c r="H26">
        <v>811.6</v>
      </c>
      <c r="I26">
        <v>737.3</v>
      </c>
      <c r="J26" s="1">
        <f t="shared" si="0"/>
        <v>0.59870077141697109</v>
      </c>
      <c r="K26">
        <v>1</v>
      </c>
      <c r="L26" s="1">
        <f t="shared" si="1"/>
        <v>1.0242424242424244</v>
      </c>
      <c r="M26" s="1">
        <f t="shared" si="2"/>
        <v>1.3</v>
      </c>
      <c r="N26" s="1">
        <f t="shared" si="3"/>
        <v>1.2944178628389156</v>
      </c>
    </row>
    <row r="27" spans="1:14" x14ac:dyDescent="0.2">
      <c r="A27">
        <v>160</v>
      </c>
      <c r="B27">
        <v>704.3</v>
      </c>
      <c r="C27">
        <v>1496.2</v>
      </c>
      <c r="D27">
        <v>703.7</v>
      </c>
      <c r="E27">
        <v>1483.1</v>
      </c>
      <c r="F27">
        <v>907.2</v>
      </c>
      <c r="G27">
        <v>901.3</v>
      </c>
      <c r="H27">
        <v>897.8</v>
      </c>
      <c r="I27">
        <v>884.9</v>
      </c>
      <c r="J27" s="1">
        <f t="shared" si="0"/>
        <v>0.59665565369833462</v>
      </c>
      <c r="K27">
        <v>1</v>
      </c>
      <c r="L27" s="1">
        <f t="shared" si="1"/>
        <v>0.99914809030242813</v>
      </c>
      <c r="M27" s="1">
        <f t="shared" si="2"/>
        <v>1.2880874627289509</v>
      </c>
      <c r="N27" s="1">
        <f t="shared" si="3"/>
        <v>1.2747408774669886</v>
      </c>
    </row>
    <row r="28" spans="1:14" x14ac:dyDescent="0.2">
      <c r="A28">
        <v>180</v>
      </c>
      <c r="B28">
        <v>766</v>
      </c>
      <c r="C28">
        <v>1954.2</v>
      </c>
      <c r="D28">
        <v>784.2</v>
      </c>
      <c r="E28">
        <v>1928.2</v>
      </c>
      <c r="F28">
        <v>1003.2</v>
      </c>
      <c r="G28">
        <v>1161.2</v>
      </c>
      <c r="H28">
        <v>998.2</v>
      </c>
      <c r="I28">
        <v>1144.0999999999999</v>
      </c>
      <c r="J28" s="1">
        <f t="shared" si="0"/>
        <v>0.59335131210455339</v>
      </c>
      <c r="K28">
        <v>1</v>
      </c>
      <c r="L28" s="1">
        <f t="shared" si="1"/>
        <v>1.0237597911227154</v>
      </c>
      <c r="M28" s="1">
        <f t="shared" si="2"/>
        <v>1.3096605744125327</v>
      </c>
      <c r="N28" s="1">
        <f t="shared" si="3"/>
        <v>1.3031331592689295</v>
      </c>
    </row>
    <row r="29" spans="1:14" x14ac:dyDescent="0.2">
      <c r="A29">
        <v>200</v>
      </c>
      <c r="B29">
        <v>835.6</v>
      </c>
      <c r="C29">
        <v>2409.4</v>
      </c>
      <c r="D29">
        <v>856.3</v>
      </c>
      <c r="E29">
        <v>2375.6999999999998</v>
      </c>
      <c r="F29">
        <v>1095.0999999999999</v>
      </c>
      <c r="G29">
        <v>1419.4</v>
      </c>
      <c r="H29">
        <v>1083.9000000000001</v>
      </c>
      <c r="I29">
        <v>1404.1</v>
      </c>
      <c r="J29" s="1">
        <f t="shared" si="0"/>
        <v>0.59102580292124429</v>
      </c>
      <c r="K29">
        <v>1</v>
      </c>
      <c r="L29" s="1">
        <f t="shared" si="1"/>
        <v>1.0247726184777404</v>
      </c>
      <c r="M29" s="1">
        <f t="shared" si="2"/>
        <v>1.3105552896122545</v>
      </c>
      <c r="N29" s="1">
        <f t="shared" si="3"/>
        <v>1.2971517472474869</v>
      </c>
    </row>
    <row r="30" spans="1:14" x14ac:dyDescent="0.2">
      <c r="A30">
        <v>300</v>
      </c>
      <c r="B30">
        <v>1197.3</v>
      </c>
      <c r="C30">
        <v>4674.6000000000004</v>
      </c>
      <c r="D30">
        <v>1223.4000000000001</v>
      </c>
      <c r="E30">
        <v>4608.6000000000004</v>
      </c>
      <c r="F30">
        <v>1558.1</v>
      </c>
      <c r="G30">
        <v>2660</v>
      </c>
      <c r="H30">
        <v>1551.7</v>
      </c>
      <c r="I30">
        <v>2614.4</v>
      </c>
      <c r="J30" s="1">
        <f t="shared" si="0"/>
        <v>0.56728724558434229</v>
      </c>
      <c r="K30">
        <v>1</v>
      </c>
      <c r="L30" s="1">
        <f t="shared" si="1"/>
        <v>1.0217990478576799</v>
      </c>
      <c r="M30" s="1">
        <f t="shared" si="2"/>
        <v>1.3013446922241709</v>
      </c>
      <c r="N30" s="1">
        <f t="shared" si="3"/>
        <v>1.2959993318299508</v>
      </c>
    </row>
    <row r="31" spans="1:14" x14ac:dyDescent="0.2">
      <c r="A31">
        <v>400</v>
      </c>
      <c r="B31">
        <v>1542.8</v>
      </c>
      <c r="C31">
        <v>8694.9</v>
      </c>
      <c r="D31">
        <v>1575.8</v>
      </c>
      <c r="E31">
        <v>8637.7000000000007</v>
      </c>
      <c r="F31">
        <v>1995.7</v>
      </c>
      <c r="G31">
        <v>4622.1000000000004</v>
      </c>
      <c r="H31">
        <v>1991.6</v>
      </c>
      <c r="I31">
        <v>4583.7</v>
      </c>
      <c r="J31" s="1">
        <f t="shared" si="0"/>
        <v>0.53066209754911597</v>
      </c>
      <c r="K31">
        <v>1</v>
      </c>
      <c r="L31" s="1">
        <f t="shared" si="1"/>
        <v>1.0213896810993</v>
      </c>
      <c r="M31" s="1">
        <f t="shared" si="2"/>
        <v>1.293557168784029</v>
      </c>
      <c r="N31" s="1">
        <f t="shared" si="3"/>
        <v>1.2908996629504796</v>
      </c>
    </row>
    <row r="32" spans="1:14" x14ac:dyDescent="0.2">
      <c r="A32">
        <v>500</v>
      </c>
      <c r="B32">
        <v>1883.7</v>
      </c>
      <c r="C32">
        <v>14207.6</v>
      </c>
      <c r="D32">
        <v>1935.5</v>
      </c>
      <c r="E32">
        <v>14060.9</v>
      </c>
      <c r="F32">
        <v>2446.9</v>
      </c>
      <c r="G32">
        <v>7094.9</v>
      </c>
      <c r="H32">
        <v>2435</v>
      </c>
      <c r="I32">
        <v>7060.2</v>
      </c>
      <c r="J32" s="1">
        <f t="shared" si="0"/>
        <v>0.50211579628615521</v>
      </c>
      <c r="K32">
        <v>1</v>
      </c>
      <c r="L32" s="1">
        <f t="shared" si="1"/>
        <v>1.0274990709773317</v>
      </c>
      <c r="M32" s="1">
        <f t="shared" si="2"/>
        <v>1.2989860381164728</v>
      </c>
      <c r="N32" s="1">
        <f t="shared" si="3"/>
        <v>1.2926686839730317</v>
      </c>
    </row>
    <row r="33" spans="1:14" x14ac:dyDescent="0.2">
      <c r="A33">
        <v>600</v>
      </c>
      <c r="B33">
        <v>2209.6</v>
      </c>
      <c r="C33">
        <v>20053.2</v>
      </c>
      <c r="D33">
        <v>2285.4</v>
      </c>
      <c r="E33">
        <v>19810</v>
      </c>
      <c r="F33">
        <v>2879.3</v>
      </c>
      <c r="G33">
        <v>9489.7999999999993</v>
      </c>
      <c r="H33">
        <v>2859.6</v>
      </c>
      <c r="I33">
        <v>9448.1</v>
      </c>
      <c r="J33" s="1">
        <f t="shared" si="0"/>
        <v>0.47693589096415956</v>
      </c>
      <c r="K33">
        <v>1</v>
      </c>
      <c r="L33" s="1">
        <f t="shared" si="1"/>
        <v>1.0343048515568429</v>
      </c>
      <c r="M33" s="1">
        <f t="shared" si="2"/>
        <v>1.303086531498914</v>
      </c>
      <c r="N33" s="1">
        <f t="shared" si="3"/>
        <v>1.2941708906589429</v>
      </c>
    </row>
    <row r="34" spans="1:14" x14ac:dyDescent="0.2">
      <c r="A34">
        <v>700</v>
      </c>
      <c r="B34">
        <v>2566.6</v>
      </c>
      <c r="C34">
        <v>28853.7</v>
      </c>
      <c r="D34">
        <v>2632.8</v>
      </c>
      <c r="E34">
        <v>28522.5</v>
      </c>
      <c r="F34">
        <v>3302.3</v>
      </c>
      <c r="G34">
        <v>12892.9</v>
      </c>
      <c r="H34">
        <v>3294.2</v>
      </c>
      <c r="I34">
        <v>12874.3</v>
      </c>
      <c r="J34" s="1">
        <f t="shared" si="0"/>
        <v>0.4513734770794986</v>
      </c>
      <c r="K34">
        <v>1</v>
      </c>
      <c r="L34" s="1">
        <f t="shared" si="1"/>
        <v>1.0257928777370842</v>
      </c>
      <c r="M34" s="1">
        <f t="shared" si="2"/>
        <v>1.2866438089301022</v>
      </c>
      <c r="N34" s="1">
        <f t="shared" si="3"/>
        <v>1.2834878828021508</v>
      </c>
    </row>
    <row r="35" spans="1:14" x14ac:dyDescent="0.2">
      <c r="A35">
        <v>800</v>
      </c>
      <c r="B35">
        <v>2924.5</v>
      </c>
      <c r="C35">
        <v>38329</v>
      </c>
      <c r="D35">
        <v>2984.8</v>
      </c>
      <c r="E35">
        <v>37986.6</v>
      </c>
      <c r="F35">
        <v>3717.8</v>
      </c>
      <c r="G35">
        <v>16296.9</v>
      </c>
      <c r="H35">
        <v>3703.5</v>
      </c>
      <c r="I35">
        <v>16271.5</v>
      </c>
      <c r="J35" s="1">
        <f t="shared" si="0"/>
        <v>0.42834841759989051</v>
      </c>
      <c r="K35">
        <v>1</v>
      </c>
      <c r="L35" s="1">
        <f t="shared" si="1"/>
        <v>1.0206189092152504</v>
      </c>
      <c r="M35" s="1">
        <f t="shared" si="2"/>
        <v>1.2712600444520432</v>
      </c>
      <c r="N35" s="1">
        <f t="shared" si="3"/>
        <v>1.2663703197127714</v>
      </c>
    </row>
    <row r="36" spans="1:14" x14ac:dyDescent="0.2">
      <c r="A36">
        <v>900</v>
      </c>
      <c r="B36">
        <v>3251.1</v>
      </c>
      <c r="C36">
        <v>52815.9</v>
      </c>
      <c r="D36">
        <v>3342.7</v>
      </c>
      <c r="E36">
        <v>52415.8</v>
      </c>
      <c r="F36">
        <v>4125.1000000000004</v>
      </c>
      <c r="G36">
        <v>21394.5</v>
      </c>
      <c r="H36">
        <v>4113.1000000000004</v>
      </c>
      <c r="I36">
        <v>21262</v>
      </c>
      <c r="J36" s="1">
        <f t="shared" si="0"/>
        <v>0.40564104716516775</v>
      </c>
      <c r="K36">
        <v>1</v>
      </c>
      <c r="L36" s="1">
        <f t="shared" si="1"/>
        <v>1.0281750792039617</v>
      </c>
      <c r="M36" s="1">
        <f t="shared" si="2"/>
        <v>1.2688320876011199</v>
      </c>
      <c r="N36" s="1">
        <f t="shared" si="3"/>
        <v>1.2651410291901204</v>
      </c>
    </row>
    <row r="37" spans="1:14" x14ac:dyDescent="0.2">
      <c r="A37">
        <v>1000</v>
      </c>
      <c r="B37">
        <v>3622</v>
      </c>
      <c r="C37">
        <v>65765</v>
      </c>
      <c r="D37">
        <v>3745.4</v>
      </c>
      <c r="E37">
        <v>65112.6</v>
      </c>
      <c r="F37">
        <v>4532.1000000000004</v>
      </c>
      <c r="G37">
        <v>25221.8</v>
      </c>
      <c r="H37">
        <v>4537.5</v>
      </c>
      <c r="I37">
        <v>25142.799999999999</v>
      </c>
      <c r="J37" s="1">
        <f t="shared" si="0"/>
        <v>0.38614338853002339</v>
      </c>
      <c r="K37">
        <v>1</v>
      </c>
      <c r="L37" s="1">
        <f t="shared" si="1"/>
        <v>1.0340695748205411</v>
      </c>
      <c r="M37" s="1">
        <f t="shared" si="2"/>
        <v>1.2512700165654336</v>
      </c>
      <c r="N37" s="1">
        <f t="shared" si="3"/>
        <v>1.2527609055770292</v>
      </c>
    </row>
    <row r="38" spans="1:14" x14ac:dyDescent="0.2">
      <c r="J38" s="1"/>
    </row>
    <row r="39" spans="1:14" x14ac:dyDescent="0.2">
      <c r="J39" s="1"/>
    </row>
    <row r="40" spans="1:14" x14ac:dyDescent="0.2">
      <c r="J40" s="1"/>
    </row>
    <row r="41" spans="1:14" x14ac:dyDescent="0.2">
      <c r="J41" s="1"/>
    </row>
    <row r="42" spans="1:14" x14ac:dyDescent="0.2">
      <c r="J42" s="1"/>
    </row>
    <row r="43" spans="1:14" x14ac:dyDescent="0.2">
      <c r="J43" s="1"/>
    </row>
    <row r="44" spans="1:14" x14ac:dyDescent="0.2">
      <c r="J44" s="1"/>
    </row>
    <row r="45" spans="1:14" x14ac:dyDescent="0.2">
      <c r="J45" s="1"/>
    </row>
    <row r="46" spans="1:14" x14ac:dyDescent="0.2">
      <c r="J46" s="1"/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ADA0-3FD9-B748-A167-0AF6A36FD04E}">
  <dimension ref="B1:M45"/>
  <sheetViews>
    <sheetView workbookViewId="0">
      <selection activeCell="I1" sqref="I1"/>
    </sheetView>
  </sheetViews>
  <sheetFormatPr baseColWidth="10" defaultRowHeight="16" x14ac:dyDescent="0.2"/>
  <cols>
    <col min="2" max="2" width="16.83203125" customWidth="1"/>
    <col min="3" max="3" width="10" customWidth="1"/>
    <col min="4" max="4" width="5.83203125" customWidth="1"/>
    <col min="5" max="5" width="9.1640625" customWidth="1"/>
    <col min="6" max="6" width="8.83203125" customWidth="1"/>
    <col min="7" max="7" width="8.1640625" customWidth="1"/>
    <col min="8" max="8" width="6.1640625" bestFit="1" customWidth="1"/>
    <col min="9" max="10" width="10.83203125" customWidth="1"/>
    <col min="11" max="11" width="7.83203125" customWidth="1"/>
    <col min="12" max="12" width="8.83203125" customWidth="1"/>
  </cols>
  <sheetData>
    <row r="1" spans="2:13" x14ac:dyDescent="0.2">
      <c r="I1" s="6"/>
    </row>
    <row r="3" spans="2:13" x14ac:dyDescent="0.2">
      <c r="B3" s="3" t="s">
        <v>55</v>
      </c>
      <c r="C3" s="3" t="s">
        <v>10</v>
      </c>
      <c r="D3" s="4" t="s">
        <v>56</v>
      </c>
      <c r="E3" s="4" t="s">
        <v>62</v>
      </c>
      <c r="F3" s="4" t="s">
        <v>11</v>
      </c>
      <c r="G3" s="4" t="s">
        <v>63</v>
      </c>
      <c r="H3" s="4" t="s">
        <v>58</v>
      </c>
      <c r="I3" s="4" t="s">
        <v>65</v>
      </c>
      <c r="J3" s="4" t="s">
        <v>12</v>
      </c>
      <c r="K3" s="4" t="s">
        <v>59</v>
      </c>
      <c r="L3" s="4" t="s">
        <v>54</v>
      </c>
      <c r="M3" s="4" t="s">
        <v>64</v>
      </c>
    </row>
    <row r="4" spans="2:13" x14ac:dyDescent="0.2">
      <c r="B4" t="s">
        <v>13</v>
      </c>
      <c r="C4" t="s">
        <v>14</v>
      </c>
      <c r="D4">
        <v>14</v>
      </c>
      <c r="E4">
        <v>1488</v>
      </c>
      <c r="F4">
        <v>7641</v>
      </c>
      <c r="G4">
        <v>115.21801499999999</v>
      </c>
      <c r="H4">
        <v>12419</v>
      </c>
      <c r="I4">
        <v>273.029291</v>
      </c>
      <c r="J4">
        <v>10625</v>
      </c>
      <c r="K4" s="2">
        <f t="shared" ref="K4:K40" si="0">F4/H4-1</f>
        <v>-0.38473307029551496</v>
      </c>
      <c r="L4" s="1">
        <f t="shared" ref="L4:L40" si="1">J4/F4-1</f>
        <v>0.39052480041879334</v>
      </c>
      <c r="M4" s="2">
        <f t="shared" ref="M4:M40" si="2">G4/I4-1</f>
        <v>-0.57800126653810202</v>
      </c>
    </row>
    <row r="5" spans="2:13" x14ac:dyDescent="0.2">
      <c r="B5" t="s">
        <v>15</v>
      </c>
      <c r="C5" t="s">
        <v>14</v>
      </c>
      <c r="D5">
        <v>14</v>
      </c>
      <c r="E5">
        <v>1488</v>
      </c>
      <c r="F5">
        <v>5000</v>
      </c>
      <c r="G5">
        <v>81.148252999999997</v>
      </c>
      <c r="H5">
        <v>12181</v>
      </c>
      <c r="I5">
        <v>284.52725500000003</v>
      </c>
      <c r="J5">
        <v>8085</v>
      </c>
      <c r="K5" s="2">
        <f t="shared" si="0"/>
        <v>-0.58952466956735905</v>
      </c>
      <c r="L5" s="1">
        <f t="shared" si="1"/>
        <v>0.61699999999999999</v>
      </c>
      <c r="M5" s="2">
        <f t="shared" si="2"/>
        <v>-0.71479620467290561</v>
      </c>
    </row>
    <row r="6" spans="2:13" x14ac:dyDescent="0.2">
      <c r="B6" t="s">
        <v>16</v>
      </c>
      <c r="C6" t="s">
        <v>14</v>
      </c>
      <c r="D6">
        <v>12</v>
      </c>
      <c r="E6">
        <v>1085</v>
      </c>
      <c r="F6">
        <v>3133</v>
      </c>
      <c r="G6">
        <v>33.076317000000003</v>
      </c>
      <c r="H6">
        <v>8482</v>
      </c>
      <c r="I6">
        <v>129.12428800000001</v>
      </c>
      <c r="J6">
        <v>3160</v>
      </c>
      <c r="K6" s="2">
        <f t="shared" si="0"/>
        <v>-0.63062956849799567</v>
      </c>
      <c r="L6" s="1">
        <f t="shared" si="1"/>
        <v>8.6179380785189608E-3</v>
      </c>
      <c r="M6" s="2">
        <f t="shared" si="2"/>
        <v>-0.74384124387195072</v>
      </c>
    </row>
    <row r="7" spans="2:13" x14ac:dyDescent="0.2">
      <c r="B7" t="s">
        <v>18</v>
      </c>
      <c r="C7" t="s">
        <v>17</v>
      </c>
      <c r="D7">
        <v>18</v>
      </c>
      <c r="E7">
        <v>2950</v>
      </c>
      <c r="F7">
        <v>21046</v>
      </c>
      <c r="G7">
        <v>461.34287899999998</v>
      </c>
      <c r="H7">
        <v>37786</v>
      </c>
      <c r="I7">
        <v>2522.6866450000002</v>
      </c>
      <c r="J7">
        <v>14622</v>
      </c>
      <c r="K7" s="2">
        <f t="shared" si="0"/>
        <v>-0.44302122479225114</v>
      </c>
      <c r="L7" s="2">
        <f t="shared" si="1"/>
        <v>-0.3052361493870569</v>
      </c>
      <c r="M7" s="2">
        <f t="shared" si="2"/>
        <v>-0.81712240007517867</v>
      </c>
    </row>
    <row r="8" spans="2:13" x14ac:dyDescent="0.2">
      <c r="B8" t="s">
        <v>19</v>
      </c>
      <c r="C8" t="s">
        <v>14</v>
      </c>
      <c r="D8">
        <v>14</v>
      </c>
      <c r="E8">
        <v>1488</v>
      </c>
      <c r="F8">
        <v>7893</v>
      </c>
      <c r="G8">
        <v>132.73884000000001</v>
      </c>
      <c r="H8">
        <v>12919</v>
      </c>
      <c r="I8">
        <v>346.42907000000002</v>
      </c>
      <c r="J8">
        <v>8778</v>
      </c>
      <c r="K8" s="2">
        <f t="shared" si="0"/>
        <v>-0.38903939933431375</v>
      </c>
      <c r="L8" s="1">
        <f t="shared" si="1"/>
        <v>0.11212466742683391</v>
      </c>
      <c r="M8" s="2">
        <f t="shared" si="2"/>
        <v>-0.61683688958319816</v>
      </c>
    </row>
    <row r="9" spans="2:13" x14ac:dyDescent="0.2">
      <c r="B9" t="s">
        <v>20</v>
      </c>
      <c r="C9" t="s">
        <v>14</v>
      </c>
      <c r="D9">
        <v>14</v>
      </c>
      <c r="E9">
        <v>1488</v>
      </c>
      <c r="F9">
        <v>10567</v>
      </c>
      <c r="G9">
        <v>161.85106200000001</v>
      </c>
      <c r="H9">
        <v>13433</v>
      </c>
      <c r="I9">
        <v>306.45082100000002</v>
      </c>
      <c r="J9">
        <v>7464</v>
      </c>
      <c r="K9" s="2">
        <f t="shared" si="0"/>
        <v>-0.21335517010347649</v>
      </c>
      <c r="L9" s="2">
        <f t="shared" si="1"/>
        <v>-0.29365004258540739</v>
      </c>
      <c r="M9" s="2">
        <f t="shared" si="2"/>
        <v>-0.47185306447588204</v>
      </c>
    </row>
    <row r="10" spans="2:13" x14ac:dyDescent="0.2">
      <c r="B10" t="s">
        <v>21</v>
      </c>
      <c r="C10" t="s">
        <v>14</v>
      </c>
      <c r="D10">
        <v>12</v>
      </c>
      <c r="E10">
        <v>2109</v>
      </c>
      <c r="F10">
        <v>4962</v>
      </c>
      <c r="G10">
        <v>85.607489999999999</v>
      </c>
      <c r="H10">
        <v>14909</v>
      </c>
      <c r="I10">
        <v>560.85743500000001</v>
      </c>
      <c r="J10">
        <v>4532</v>
      </c>
      <c r="K10" s="2">
        <f t="shared" si="0"/>
        <v>-0.6671808974444966</v>
      </c>
      <c r="L10" s="2">
        <f t="shared" si="1"/>
        <v>-8.6658605401047972E-2</v>
      </c>
      <c r="M10" s="2">
        <f t="shared" si="2"/>
        <v>-0.84736318954209811</v>
      </c>
    </row>
    <row r="11" spans="2:13" x14ac:dyDescent="0.2">
      <c r="B11" t="s">
        <v>22</v>
      </c>
      <c r="C11" t="s">
        <v>14</v>
      </c>
      <c r="D11">
        <v>14</v>
      </c>
      <c r="E11">
        <v>1000</v>
      </c>
      <c r="F11">
        <v>5320</v>
      </c>
      <c r="G11">
        <v>49.378607000000002</v>
      </c>
      <c r="H11">
        <v>8675</v>
      </c>
      <c r="I11">
        <v>105.78508100000001</v>
      </c>
      <c r="J11">
        <v>7590</v>
      </c>
      <c r="K11" s="2">
        <f t="shared" si="0"/>
        <v>-0.3867435158501441</v>
      </c>
      <c r="L11" s="1">
        <f t="shared" si="1"/>
        <v>0.42669172932330834</v>
      </c>
      <c r="M11" s="2">
        <f t="shared" si="2"/>
        <v>-0.53321766610926924</v>
      </c>
    </row>
    <row r="12" spans="2:13" x14ac:dyDescent="0.2">
      <c r="B12" t="s">
        <v>23</v>
      </c>
      <c r="C12" t="s">
        <v>14</v>
      </c>
      <c r="D12">
        <v>14</v>
      </c>
      <c r="E12">
        <v>1000</v>
      </c>
      <c r="F12">
        <v>4252</v>
      </c>
      <c r="G12">
        <v>36.524329999999999</v>
      </c>
      <c r="H12">
        <v>7967</v>
      </c>
      <c r="I12">
        <v>87.638071999999994</v>
      </c>
      <c r="J12">
        <v>3406</v>
      </c>
      <c r="K12" s="2">
        <f t="shared" si="0"/>
        <v>-0.46629848123509476</v>
      </c>
      <c r="L12" s="2">
        <f t="shared" si="1"/>
        <v>-0.19896519285042336</v>
      </c>
      <c r="M12" s="2">
        <f t="shared" si="2"/>
        <v>-0.58323672387498438</v>
      </c>
    </row>
    <row r="13" spans="2:13" x14ac:dyDescent="0.2">
      <c r="B13" t="s">
        <v>24</v>
      </c>
      <c r="C13" t="s">
        <v>14</v>
      </c>
      <c r="D13">
        <v>12</v>
      </c>
      <c r="E13">
        <v>1085</v>
      </c>
      <c r="F13">
        <v>3222</v>
      </c>
      <c r="G13">
        <v>23.810727</v>
      </c>
      <c r="H13">
        <v>8077</v>
      </c>
      <c r="I13">
        <v>90.031066999999993</v>
      </c>
      <c r="J13">
        <v>2767</v>
      </c>
      <c r="K13" s="2">
        <f t="shared" si="0"/>
        <v>-0.60108951343320538</v>
      </c>
      <c r="L13" s="2">
        <f t="shared" si="1"/>
        <v>-0.1412166356300435</v>
      </c>
      <c r="M13" s="2">
        <f t="shared" si="2"/>
        <v>-0.73552765957999799</v>
      </c>
    </row>
    <row r="14" spans="2:13" x14ac:dyDescent="0.2">
      <c r="B14" t="s">
        <v>25</v>
      </c>
      <c r="C14" t="s">
        <v>14</v>
      </c>
      <c r="D14">
        <v>8</v>
      </c>
      <c r="E14">
        <v>84</v>
      </c>
      <c r="F14">
        <v>289</v>
      </c>
      <c r="G14">
        <v>0.19081300000000001</v>
      </c>
      <c r="H14">
        <v>443</v>
      </c>
      <c r="I14">
        <v>0.279721</v>
      </c>
      <c r="J14">
        <v>266</v>
      </c>
      <c r="K14" s="2">
        <f t="shared" si="0"/>
        <v>-0.34762979683972917</v>
      </c>
      <c r="L14" s="2">
        <f t="shared" si="1"/>
        <v>-7.9584775086505188E-2</v>
      </c>
      <c r="M14" s="2">
        <f t="shared" si="2"/>
        <v>-0.31784528154839997</v>
      </c>
    </row>
    <row r="15" spans="2:13" x14ac:dyDescent="0.2">
      <c r="B15" t="s">
        <v>26</v>
      </c>
      <c r="C15" t="s">
        <v>27</v>
      </c>
      <c r="D15">
        <v>4</v>
      </c>
      <c r="E15">
        <v>12</v>
      </c>
      <c r="F15">
        <v>22</v>
      </c>
      <c r="G15">
        <v>1.486E-2</v>
      </c>
      <c r="H15">
        <v>35</v>
      </c>
      <c r="I15">
        <v>5.5510000000000004E-3</v>
      </c>
      <c r="J15">
        <v>24</v>
      </c>
      <c r="K15" s="2">
        <f t="shared" si="0"/>
        <v>-0.37142857142857144</v>
      </c>
      <c r="L15" s="1">
        <f t="shared" si="1"/>
        <v>9.0909090909090828E-2</v>
      </c>
      <c r="M15" s="5">
        <f t="shared" si="2"/>
        <v>1.6769951360115294</v>
      </c>
    </row>
    <row r="16" spans="2:13" x14ac:dyDescent="0.2">
      <c r="B16" t="s">
        <v>28</v>
      </c>
      <c r="C16" t="s">
        <v>14</v>
      </c>
      <c r="D16">
        <v>8</v>
      </c>
      <c r="E16">
        <v>84</v>
      </c>
      <c r="F16">
        <v>327</v>
      </c>
      <c r="G16">
        <v>0.27967599999999998</v>
      </c>
      <c r="H16">
        <v>414</v>
      </c>
      <c r="I16">
        <v>0.30827500000000002</v>
      </c>
      <c r="J16">
        <v>247</v>
      </c>
      <c r="K16" s="2">
        <f t="shared" si="0"/>
        <v>-0.21014492753623193</v>
      </c>
      <c r="L16" s="2">
        <f t="shared" si="1"/>
        <v>-0.24464831804281351</v>
      </c>
      <c r="M16" s="2">
        <f t="shared" si="2"/>
        <v>-9.2771064796042579E-2</v>
      </c>
    </row>
    <row r="17" spans="2:13" x14ac:dyDescent="0.2">
      <c r="B17" t="s">
        <v>29</v>
      </c>
      <c r="C17" t="s">
        <v>27</v>
      </c>
      <c r="D17">
        <v>4</v>
      </c>
      <c r="E17">
        <v>12</v>
      </c>
      <c r="F17">
        <v>24</v>
      </c>
      <c r="G17">
        <v>1.1167E-2</v>
      </c>
      <c r="H17">
        <v>38</v>
      </c>
      <c r="I17">
        <v>6.3090000000000004E-3</v>
      </c>
      <c r="J17">
        <v>29</v>
      </c>
      <c r="K17" s="2">
        <f t="shared" si="0"/>
        <v>-0.36842105263157898</v>
      </c>
      <c r="L17" s="1">
        <f t="shared" si="1"/>
        <v>0.20833333333333326</v>
      </c>
      <c r="M17" s="5">
        <f t="shared" si="2"/>
        <v>0.77001109526073841</v>
      </c>
    </row>
    <row r="18" spans="2:13" x14ac:dyDescent="0.2">
      <c r="B18" t="s">
        <v>30</v>
      </c>
      <c r="C18" t="s">
        <v>31</v>
      </c>
      <c r="D18">
        <v>6</v>
      </c>
      <c r="E18">
        <v>158</v>
      </c>
      <c r="F18">
        <v>237</v>
      </c>
      <c r="G18">
        <v>0.26958500000000002</v>
      </c>
      <c r="H18">
        <v>433</v>
      </c>
      <c r="I18">
        <v>0.34162100000000001</v>
      </c>
      <c r="J18">
        <v>215</v>
      </c>
      <c r="K18" s="2">
        <f t="shared" si="0"/>
        <v>-0.45265588914549648</v>
      </c>
      <c r="L18" s="2">
        <f t="shared" si="1"/>
        <v>-9.2827004219409259E-2</v>
      </c>
      <c r="M18" s="2">
        <f t="shared" si="2"/>
        <v>-0.210865257112414</v>
      </c>
    </row>
    <row r="19" spans="2:13" x14ac:dyDescent="0.2">
      <c r="B19" t="s">
        <v>32</v>
      </c>
      <c r="C19" t="s">
        <v>27</v>
      </c>
      <c r="D19">
        <v>2</v>
      </c>
      <c r="E19">
        <v>4</v>
      </c>
      <c r="F19">
        <v>5</v>
      </c>
      <c r="G19">
        <v>5.1599999999999997E-3</v>
      </c>
      <c r="H19">
        <v>5</v>
      </c>
      <c r="I19">
        <v>2.0890000000000001E-3</v>
      </c>
      <c r="J19">
        <v>2</v>
      </c>
      <c r="K19" s="5">
        <f t="shared" si="0"/>
        <v>0</v>
      </c>
      <c r="L19" s="2">
        <f t="shared" si="1"/>
        <v>-0.6</v>
      </c>
      <c r="M19" s="5">
        <f t="shared" si="2"/>
        <v>1.4700813786500713</v>
      </c>
    </row>
    <row r="20" spans="2:13" x14ac:dyDescent="0.2">
      <c r="B20" t="s">
        <v>33</v>
      </c>
      <c r="C20" t="s">
        <v>17</v>
      </c>
      <c r="D20">
        <v>16</v>
      </c>
      <c r="E20">
        <v>1440</v>
      </c>
      <c r="F20">
        <v>11382</v>
      </c>
      <c r="G20">
        <v>164.80469600000001</v>
      </c>
      <c r="H20">
        <v>13852</v>
      </c>
      <c r="I20">
        <v>378.60474699999997</v>
      </c>
      <c r="J20">
        <v>11815</v>
      </c>
      <c r="K20" s="2">
        <f t="shared" si="0"/>
        <v>-0.17831360092405424</v>
      </c>
      <c r="L20" s="1">
        <f t="shared" si="1"/>
        <v>3.8042523282375784E-2</v>
      </c>
      <c r="M20" s="2">
        <f t="shared" si="2"/>
        <v>-0.56470515146499201</v>
      </c>
    </row>
    <row r="21" spans="2:13" x14ac:dyDescent="0.2">
      <c r="B21" t="s">
        <v>34</v>
      </c>
      <c r="C21" t="s">
        <v>14</v>
      </c>
      <c r="D21">
        <v>8</v>
      </c>
      <c r="E21">
        <v>160</v>
      </c>
      <c r="F21">
        <v>448</v>
      </c>
      <c r="G21">
        <v>0.668852</v>
      </c>
      <c r="H21">
        <v>878</v>
      </c>
      <c r="I21">
        <v>1.1275869999999999</v>
      </c>
      <c r="J21">
        <v>382</v>
      </c>
      <c r="K21" s="2">
        <f t="shared" si="0"/>
        <v>-0.48974943052391795</v>
      </c>
      <c r="L21" s="2">
        <f t="shared" si="1"/>
        <v>-0.1473214285714286</v>
      </c>
      <c r="M21" s="2">
        <f t="shared" si="2"/>
        <v>-0.40682891874418559</v>
      </c>
    </row>
    <row r="22" spans="2:13" x14ac:dyDescent="0.2">
      <c r="B22" t="s">
        <v>35</v>
      </c>
      <c r="C22" t="s">
        <v>17</v>
      </c>
      <c r="D22">
        <v>16</v>
      </c>
      <c r="E22">
        <v>1440</v>
      </c>
      <c r="F22">
        <v>11626</v>
      </c>
      <c r="G22">
        <v>165.386697</v>
      </c>
      <c r="H22">
        <v>11727</v>
      </c>
      <c r="I22">
        <v>309.21366599999999</v>
      </c>
      <c r="J22">
        <v>6468</v>
      </c>
      <c r="K22" s="2">
        <f t="shared" si="0"/>
        <v>-8.6126033938773716E-3</v>
      </c>
      <c r="L22" s="2">
        <f t="shared" si="1"/>
        <v>-0.44366076036469981</v>
      </c>
      <c r="M22" s="2">
        <f t="shared" si="2"/>
        <v>-0.46513781509255803</v>
      </c>
    </row>
    <row r="23" spans="2:13" x14ac:dyDescent="0.2">
      <c r="B23" t="s">
        <v>36</v>
      </c>
      <c r="C23" t="s">
        <v>14</v>
      </c>
      <c r="D23">
        <v>8</v>
      </c>
      <c r="E23">
        <v>160</v>
      </c>
      <c r="F23">
        <v>507</v>
      </c>
      <c r="G23">
        <v>0.79593100000000006</v>
      </c>
      <c r="H23">
        <v>883</v>
      </c>
      <c r="I23">
        <v>1.149607</v>
      </c>
      <c r="J23">
        <v>421</v>
      </c>
      <c r="K23" s="2">
        <f t="shared" si="0"/>
        <v>-0.42582106455266133</v>
      </c>
      <c r="L23" s="2">
        <f t="shared" si="1"/>
        <v>-0.16962524654832345</v>
      </c>
      <c r="M23" s="2">
        <f t="shared" si="2"/>
        <v>-0.30764948369312295</v>
      </c>
    </row>
    <row r="24" spans="2:13" x14ac:dyDescent="0.2">
      <c r="B24" t="s">
        <v>37</v>
      </c>
      <c r="C24" t="s">
        <v>14</v>
      </c>
      <c r="D24">
        <v>14</v>
      </c>
      <c r="E24">
        <v>2912</v>
      </c>
      <c r="F24">
        <v>15866</v>
      </c>
      <c r="G24">
        <v>318.762201</v>
      </c>
      <c r="H24">
        <v>24224</v>
      </c>
      <c r="I24">
        <v>1493.9029410000001</v>
      </c>
      <c r="J24">
        <v>8374</v>
      </c>
      <c r="K24" s="2">
        <f t="shared" si="0"/>
        <v>-0.34502972258916775</v>
      </c>
      <c r="L24" s="2">
        <f t="shared" si="1"/>
        <v>-0.47220471448380186</v>
      </c>
      <c r="M24" s="2">
        <f t="shared" si="2"/>
        <v>-0.78662455755885685</v>
      </c>
    </row>
    <row r="25" spans="2:13" x14ac:dyDescent="0.2">
      <c r="B25" t="s">
        <v>38</v>
      </c>
      <c r="C25" t="s">
        <v>31</v>
      </c>
      <c r="D25">
        <v>6</v>
      </c>
      <c r="E25">
        <v>164</v>
      </c>
      <c r="F25">
        <v>217</v>
      </c>
      <c r="G25">
        <v>0.58277299999999999</v>
      </c>
      <c r="H25">
        <v>471</v>
      </c>
      <c r="I25">
        <v>0.57758100000000001</v>
      </c>
      <c r="J25">
        <v>191</v>
      </c>
      <c r="K25" s="2">
        <f t="shared" si="0"/>
        <v>-0.53927813163481952</v>
      </c>
      <c r="L25" s="2">
        <f t="shared" si="1"/>
        <v>-0.11981566820276501</v>
      </c>
      <c r="M25" s="5">
        <f t="shared" si="2"/>
        <v>8.9892153654638207E-3</v>
      </c>
    </row>
    <row r="26" spans="2:13" x14ac:dyDescent="0.2">
      <c r="B26" t="s">
        <v>39</v>
      </c>
      <c r="C26" t="s">
        <v>17</v>
      </c>
      <c r="D26">
        <v>16</v>
      </c>
      <c r="E26">
        <v>2688</v>
      </c>
      <c r="F26">
        <v>20605</v>
      </c>
      <c r="G26">
        <v>626.60672199999999</v>
      </c>
      <c r="H26">
        <v>28018</v>
      </c>
      <c r="I26">
        <v>1932.4593809999999</v>
      </c>
      <c r="J26">
        <v>11809</v>
      </c>
      <c r="K26" s="2">
        <f t="shared" si="0"/>
        <v>-0.26457991291312732</v>
      </c>
      <c r="L26" s="2">
        <f t="shared" si="1"/>
        <v>-0.42688667799077895</v>
      </c>
      <c r="M26" s="2">
        <f t="shared" si="2"/>
        <v>-0.67574649787684204</v>
      </c>
    </row>
    <row r="27" spans="2:13" x14ac:dyDescent="0.2">
      <c r="B27" t="s">
        <v>40</v>
      </c>
      <c r="C27" t="s">
        <v>17</v>
      </c>
      <c r="D27">
        <v>16</v>
      </c>
      <c r="E27">
        <v>2688</v>
      </c>
      <c r="F27">
        <v>9143</v>
      </c>
      <c r="G27">
        <v>335.78666199999998</v>
      </c>
      <c r="H27">
        <v>29280</v>
      </c>
      <c r="I27">
        <v>2134.8060519999999</v>
      </c>
      <c r="J27">
        <v>10652</v>
      </c>
      <c r="K27" s="2">
        <f t="shared" si="0"/>
        <v>-0.68773907103825138</v>
      </c>
      <c r="L27" s="1">
        <f t="shared" si="1"/>
        <v>0.1650442961828722</v>
      </c>
      <c r="M27" s="2">
        <f t="shared" si="2"/>
        <v>-0.84270858625053213</v>
      </c>
    </row>
    <row r="28" spans="2:13" x14ac:dyDescent="0.2">
      <c r="B28" t="s">
        <v>41</v>
      </c>
      <c r="C28" t="s">
        <v>17</v>
      </c>
      <c r="D28">
        <v>20</v>
      </c>
      <c r="E28">
        <v>684</v>
      </c>
      <c r="F28">
        <v>4953</v>
      </c>
      <c r="G28">
        <v>34.247933000000003</v>
      </c>
      <c r="H28">
        <v>6308</v>
      </c>
      <c r="I28">
        <v>60.474814000000002</v>
      </c>
      <c r="J28">
        <v>4740</v>
      </c>
      <c r="K28" s="2">
        <f t="shared" si="0"/>
        <v>-0.21480659480025366</v>
      </c>
      <c r="L28" s="2">
        <f t="shared" si="1"/>
        <v>-4.300423985463353E-2</v>
      </c>
      <c r="M28" s="2">
        <f t="shared" si="2"/>
        <v>-0.43368270632465278</v>
      </c>
    </row>
    <row r="29" spans="2:13" x14ac:dyDescent="0.2">
      <c r="B29" t="s">
        <v>42</v>
      </c>
      <c r="C29" t="s">
        <v>17</v>
      </c>
      <c r="D29">
        <v>20</v>
      </c>
      <c r="E29">
        <v>684</v>
      </c>
      <c r="F29">
        <v>4946</v>
      </c>
      <c r="G29">
        <v>32.466031000000001</v>
      </c>
      <c r="H29">
        <v>5807</v>
      </c>
      <c r="I29">
        <v>55.383809999999997</v>
      </c>
      <c r="J29">
        <v>5704</v>
      </c>
      <c r="K29" s="2">
        <f t="shared" si="0"/>
        <v>-0.14826933011882215</v>
      </c>
      <c r="L29" s="1">
        <f t="shared" si="1"/>
        <v>0.15325515568135861</v>
      </c>
      <c r="M29" s="2">
        <f t="shared" si="2"/>
        <v>-0.41379924927519429</v>
      </c>
    </row>
    <row r="30" spans="2:13" x14ac:dyDescent="0.2">
      <c r="B30" t="s">
        <v>43</v>
      </c>
      <c r="C30" t="s">
        <v>17</v>
      </c>
      <c r="D30">
        <v>22</v>
      </c>
      <c r="E30">
        <v>3240</v>
      </c>
      <c r="F30">
        <v>42385</v>
      </c>
      <c r="G30">
        <v>1592.0266979999999</v>
      </c>
      <c r="H30">
        <v>35792</v>
      </c>
      <c r="I30">
        <v>3037.7464949999999</v>
      </c>
      <c r="J30">
        <v>47282</v>
      </c>
      <c r="K30" s="5">
        <f t="shared" si="0"/>
        <v>0.18420317389360741</v>
      </c>
      <c r="L30" s="1">
        <f t="shared" si="1"/>
        <v>0.11553615665919548</v>
      </c>
      <c r="M30" s="2">
        <f t="shared" si="2"/>
        <v>-0.47591851373364846</v>
      </c>
    </row>
    <row r="31" spans="2:13" x14ac:dyDescent="0.2">
      <c r="B31" t="s">
        <v>44</v>
      </c>
      <c r="C31" t="s">
        <v>14</v>
      </c>
      <c r="D31">
        <v>12</v>
      </c>
      <c r="E31">
        <v>640</v>
      </c>
      <c r="F31">
        <v>2564</v>
      </c>
      <c r="G31">
        <v>15.482094999999999</v>
      </c>
      <c r="H31">
        <v>4250</v>
      </c>
      <c r="I31">
        <v>28.972878999999999</v>
      </c>
      <c r="J31">
        <v>3275</v>
      </c>
      <c r="K31" s="2">
        <f t="shared" si="0"/>
        <v>-0.39670588235294113</v>
      </c>
      <c r="L31" s="1">
        <f t="shared" si="1"/>
        <v>0.27730109204368181</v>
      </c>
      <c r="M31" s="2">
        <f t="shared" si="2"/>
        <v>-0.4656349132580162</v>
      </c>
    </row>
    <row r="32" spans="2:13" x14ac:dyDescent="0.2">
      <c r="B32" t="s">
        <v>45</v>
      </c>
      <c r="C32" t="s">
        <v>17</v>
      </c>
      <c r="D32">
        <v>22</v>
      </c>
      <c r="E32">
        <v>3240</v>
      </c>
      <c r="F32">
        <v>24416</v>
      </c>
      <c r="G32">
        <v>852.84564499999999</v>
      </c>
      <c r="H32">
        <v>33673</v>
      </c>
      <c r="I32">
        <v>3113.253412</v>
      </c>
      <c r="J32">
        <v>16037</v>
      </c>
      <c r="K32" s="2">
        <f t="shared" si="0"/>
        <v>-0.27490868054524398</v>
      </c>
      <c r="L32" s="2">
        <f t="shared" si="1"/>
        <v>-0.34317660550458717</v>
      </c>
      <c r="M32" s="2">
        <f t="shared" si="2"/>
        <v>-0.7260596770848412</v>
      </c>
    </row>
    <row r="33" spans="2:13" x14ac:dyDescent="0.2">
      <c r="B33" t="s">
        <v>46</v>
      </c>
      <c r="C33" t="s">
        <v>14</v>
      </c>
      <c r="D33">
        <v>12</v>
      </c>
      <c r="E33">
        <v>640</v>
      </c>
      <c r="F33">
        <v>2503</v>
      </c>
      <c r="G33">
        <v>14.346698</v>
      </c>
      <c r="H33">
        <v>4331</v>
      </c>
      <c r="I33">
        <v>29.301047000000001</v>
      </c>
      <c r="J33">
        <v>2336</v>
      </c>
      <c r="K33" s="2">
        <f t="shared" si="0"/>
        <v>-0.4220734241514662</v>
      </c>
      <c r="L33" s="2">
        <f t="shared" si="1"/>
        <v>-6.6719936076707897E-2</v>
      </c>
      <c r="M33" s="2">
        <f t="shared" si="2"/>
        <v>-0.51036910046251927</v>
      </c>
    </row>
    <row r="34" spans="2:13" x14ac:dyDescent="0.2">
      <c r="B34" t="s">
        <v>47</v>
      </c>
      <c r="C34" t="s">
        <v>14</v>
      </c>
      <c r="D34">
        <v>10</v>
      </c>
      <c r="E34">
        <v>630</v>
      </c>
      <c r="F34">
        <v>1432</v>
      </c>
      <c r="G34">
        <v>6.5066259999999998</v>
      </c>
      <c r="H34">
        <v>3472</v>
      </c>
      <c r="I34">
        <v>20.047049999999999</v>
      </c>
      <c r="J34">
        <v>1468</v>
      </c>
      <c r="K34" s="2">
        <f t="shared" si="0"/>
        <v>-0.5875576036866359</v>
      </c>
      <c r="L34" s="1">
        <f t="shared" si="1"/>
        <v>2.5139664804469275E-2</v>
      </c>
      <c r="M34" s="2">
        <f t="shared" si="2"/>
        <v>-0.67543224564212689</v>
      </c>
    </row>
    <row r="35" spans="2:13" x14ac:dyDescent="0.2">
      <c r="B35" t="s">
        <v>48</v>
      </c>
      <c r="C35" t="s">
        <v>17</v>
      </c>
      <c r="D35">
        <v>18</v>
      </c>
      <c r="E35">
        <v>2950</v>
      </c>
      <c r="F35">
        <v>21728</v>
      </c>
      <c r="G35">
        <v>508.06735300000003</v>
      </c>
      <c r="H35">
        <v>35602</v>
      </c>
      <c r="I35">
        <v>2431.2650039999999</v>
      </c>
      <c r="J35">
        <v>15910</v>
      </c>
      <c r="K35" s="2">
        <f t="shared" si="0"/>
        <v>-0.38969720802202124</v>
      </c>
      <c r="L35" s="2">
        <f t="shared" si="1"/>
        <v>-0.2677650957290133</v>
      </c>
      <c r="M35" s="2">
        <f t="shared" si="2"/>
        <v>-0.79102757117627642</v>
      </c>
    </row>
    <row r="36" spans="2:13" x14ac:dyDescent="0.2">
      <c r="B36" t="s">
        <v>49</v>
      </c>
      <c r="C36" t="s">
        <v>17</v>
      </c>
      <c r="D36">
        <v>16</v>
      </c>
      <c r="E36">
        <v>2340</v>
      </c>
      <c r="F36">
        <v>19534</v>
      </c>
      <c r="G36">
        <v>472.31464199999999</v>
      </c>
      <c r="H36">
        <v>25280</v>
      </c>
      <c r="I36">
        <v>1281.476625</v>
      </c>
      <c r="J36">
        <v>13035</v>
      </c>
      <c r="K36" s="2">
        <f t="shared" si="0"/>
        <v>-0.2272943037974684</v>
      </c>
      <c r="L36" s="2">
        <f t="shared" si="1"/>
        <v>-0.33270195556465654</v>
      </c>
      <c r="M36" s="2">
        <f t="shared" si="2"/>
        <v>-0.63142937390683973</v>
      </c>
    </row>
    <row r="37" spans="2:13" x14ac:dyDescent="0.2">
      <c r="B37" t="s">
        <v>50</v>
      </c>
      <c r="C37" t="s">
        <v>17</v>
      </c>
      <c r="D37">
        <v>16</v>
      </c>
      <c r="E37">
        <v>2340</v>
      </c>
      <c r="F37">
        <v>9597</v>
      </c>
      <c r="G37">
        <v>222.20063200000001</v>
      </c>
      <c r="H37">
        <v>23182</v>
      </c>
      <c r="I37">
        <v>1149.347585</v>
      </c>
      <c r="J37">
        <v>9670</v>
      </c>
      <c r="K37" s="2">
        <f t="shared" si="0"/>
        <v>-0.58601501164696745</v>
      </c>
      <c r="L37" s="1">
        <f t="shared" si="1"/>
        <v>7.6065437115764301E-3</v>
      </c>
      <c r="M37" s="2">
        <f t="shared" si="2"/>
        <v>-0.8066723810099623</v>
      </c>
    </row>
    <row r="38" spans="2:13" x14ac:dyDescent="0.2">
      <c r="B38" t="s">
        <v>51</v>
      </c>
      <c r="C38" t="s">
        <v>14</v>
      </c>
      <c r="D38">
        <v>12</v>
      </c>
      <c r="E38">
        <v>640</v>
      </c>
      <c r="F38">
        <v>2200</v>
      </c>
      <c r="G38">
        <v>10.826136999999999</v>
      </c>
      <c r="H38">
        <v>4788</v>
      </c>
      <c r="I38">
        <v>27.872985</v>
      </c>
      <c r="J38">
        <v>2461</v>
      </c>
      <c r="K38" s="2">
        <f t="shared" si="0"/>
        <v>-0.54051796157059318</v>
      </c>
      <c r="L38" s="1">
        <f t="shared" si="1"/>
        <v>0.11863636363636365</v>
      </c>
      <c r="M38" s="2">
        <f t="shared" si="2"/>
        <v>-0.61159032661912605</v>
      </c>
    </row>
    <row r="39" spans="2:13" x14ac:dyDescent="0.2">
      <c r="B39" t="s">
        <v>52</v>
      </c>
      <c r="C39" t="s">
        <v>14</v>
      </c>
      <c r="D39">
        <v>12</v>
      </c>
      <c r="E39">
        <v>640</v>
      </c>
      <c r="F39">
        <v>2301</v>
      </c>
      <c r="G39">
        <v>14.329871000000001</v>
      </c>
      <c r="H39">
        <v>4884</v>
      </c>
      <c r="I39">
        <v>32.869433999999998</v>
      </c>
      <c r="J39">
        <v>2415</v>
      </c>
      <c r="K39" s="2">
        <f t="shared" si="0"/>
        <v>-0.52886977886977893</v>
      </c>
      <c r="L39" s="1">
        <f t="shared" si="1"/>
        <v>4.9543676662320735E-2</v>
      </c>
      <c r="M39" s="2">
        <f t="shared" si="2"/>
        <v>-0.56403657574389632</v>
      </c>
    </row>
    <row r="40" spans="2:13" x14ac:dyDescent="0.2">
      <c r="B40" t="s">
        <v>53</v>
      </c>
      <c r="C40" t="s">
        <v>14</v>
      </c>
      <c r="D40">
        <v>10</v>
      </c>
      <c r="E40">
        <v>630</v>
      </c>
      <c r="F40">
        <v>1432</v>
      </c>
      <c r="G40">
        <v>6.5269760000000003</v>
      </c>
      <c r="H40">
        <v>3472</v>
      </c>
      <c r="I40">
        <v>19.445034</v>
      </c>
      <c r="J40">
        <v>1468</v>
      </c>
      <c r="K40" s="2">
        <f t="shared" si="0"/>
        <v>-0.5875576036866359</v>
      </c>
      <c r="L40" s="1">
        <f t="shared" si="1"/>
        <v>2.5139664804469275E-2</v>
      </c>
      <c r="M40" s="2">
        <f t="shared" si="2"/>
        <v>-0.66433712586977212</v>
      </c>
    </row>
    <row r="41" spans="2:13" x14ac:dyDescent="0.2">
      <c r="K41" s="2"/>
      <c r="L41" s="1"/>
      <c r="M41" s="2"/>
    </row>
    <row r="42" spans="2:13" x14ac:dyDescent="0.2">
      <c r="K42" s="2"/>
      <c r="L42" s="1"/>
      <c r="M42" s="2"/>
    </row>
    <row r="43" spans="2:13" x14ac:dyDescent="0.2">
      <c r="K43" s="2"/>
      <c r="L43" s="1"/>
      <c r="M43" s="2"/>
    </row>
    <row r="44" spans="2:13" x14ac:dyDescent="0.2">
      <c r="K44" s="2"/>
      <c r="L44" s="1"/>
      <c r="M44" s="2"/>
    </row>
    <row r="45" spans="2:13" x14ac:dyDescent="0.2">
      <c r="K45" s="2"/>
      <c r="L45" s="1"/>
      <c r="M4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line6</vt:lpstr>
      <vt:lpstr>line6 depth</vt:lpstr>
      <vt:lpstr>quito5</vt:lpstr>
      <vt:lpstr>quito5 depth</vt:lpstr>
      <vt:lpstr>grid9</vt:lpstr>
      <vt:lpstr>grid9 depth</vt:lpstr>
      <vt:lpstr>guadalupe16</vt:lpstr>
      <vt:lpstr>guadalupe depth</vt:lpstr>
      <vt:lpstr>Molecules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Lauri Vuorenkoski</cp:lastModifiedBy>
  <dcterms:created xsi:type="dcterms:W3CDTF">2025-08-06T10:12:00Z</dcterms:created>
  <dcterms:modified xsi:type="dcterms:W3CDTF">2025-10-10T09:31:38Z</dcterms:modified>
</cp:coreProperties>
</file>