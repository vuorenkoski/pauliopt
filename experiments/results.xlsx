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vuorenk/Documents/vaikkari/paulioptnew/pauliopt/experiments/"/>
    </mc:Choice>
  </mc:AlternateContent>
  <xr:revisionPtr revIDLastSave="0" documentId="13_ncr:1_{3980735F-D87F-EB4A-9D36-1823FCDC27CC}" xr6:coauthVersionLast="47" xr6:coauthVersionMax="47" xr10:uidLastSave="{00000000-0000-0000-0000-000000000000}"/>
  <bookViews>
    <workbookView xWindow="680" yWindow="760" windowWidth="28040" windowHeight="17240" activeTab="9" xr2:uid="{85E89CC3-FE57-2C44-8224-50BF94C0E0C4}"/>
  </bookViews>
  <sheets>
    <sheet name="line6" sheetId="1" r:id="rId1"/>
    <sheet name="line6 depth" sheetId="13" r:id="rId2"/>
    <sheet name="quito5" sheetId="5" r:id="rId3"/>
    <sheet name="quito5 depth" sheetId="14" r:id="rId4"/>
    <sheet name="grid9" sheetId="6" r:id="rId5"/>
    <sheet name="grid9 depth" sheetId="15" r:id="rId6"/>
    <sheet name="grid16" sheetId="18" r:id="rId7"/>
    <sheet name="grid16 depth" sheetId="17" r:id="rId8"/>
    <sheet name="guadalupe16" sheetId="7" r:id="rId9"/>
    <sheet name="guadalupe depth" sheetId="16" r:id="rId10"/>
    <sheet name="time" sheetId="19" r:id="rId11"/>
    <sheet name="Molecules" sheetId="1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8" l="1"/>
  <c r="L2" i="18"/>
  <c r="M2" i="18"/>
  <c r="N2" i="18"/>
  <c r="J3" i="18"/>
  <c r="L3" i="18"/>
  <c r="M3" i="18"/>
  <c r="N3" i="18"/>
  <c r="J4" i="18"/>
  <c r="L4" i="18"/>
  <c r="M4" i="18"/>
  <c r="N4" i="18"/>
  <c r="J5" i="18"/>
  <c r="L5" i="18"/>
  <c r="M5" i="18"/>
  <c r="N5" i="18"/>
  <c r="J6" i="18"/>
  <c r="L6" i="18"/>
  <c r="M6" i="18"/>
  <c r="N6" i="18"/>
  <c r="J7" i="18"/>
  <c r="L7" i="18"/>
  <c r="M7" i="18"/>
  <c r="N7" i="18"/>
  <c r="J8" i="18"/>
  <c r="L8" i="18"/>
  <c r="M8" i="18"/>
  <c r="N8" i="18"/>
  <c r="J9" i="18"/>
  <c r="L9" i="18"/>
  <c r="M9" i="18"/>
  <c r="N9" i="18"/>
  <c r="J10" i="18"/>
  <c r="L10" i="18"/>
  <c r="M10" i="18"/>
  <c r="N10" i="18"/>
  <c r="J11" i="18"/>
  <c r="L11" i="18"/>
  <c r="M11" i="18"/>
  <c r="N11" i="18"/>
  <c r="J12" i="18"/>
  <c r="L12" i="18"/>
  <c r="M12" i="18"/>
  <c r="N12" i="18"/>
  <c r="J13" i="18"/>
  <c r="L13" i="18"/>
  <c r="M13" i="18"/>
  <c r="N13" i="18"/>
  <c r="J14" i="18"/>
  <c r="L14" i="18"/>
  <c r="M14" i="18"/>
  <c r="N14" i="18"/>
  <c r="J15" i="18"/>
  <c r="L15" i="18"/>
  <c r="M15" i="18"/>
  <c r="N15" i="18"/>
  <c r="J16" i="18"/>
  <c r="L16" i="18"/>
  <c r="M16" i="18"/>
  <c r="N16" i="18"/>
  <c r="J17" i="18"/>
  <c r="L17" i="18"/>
  <c r="M17" i="18"/>
  <c r="N17" i="18"/>
  <c r="J18" i="18"/>
  <c r="L18" i="18"/>
  <c r="M18" i="18"/>
  <c r="N18" i="18"/>
  <c r="J19" i="18"/>
  <c r="L19" i="18"/>
  <c r="M19" i="18"/>
  <c r="N19" i="18"/>
  <c r="J20" i="18"/>
  <c r="L20" i="18"/>
  <c r="M20" i="18"/>
  <c r="N20" i="18"/>
  <c r="J21" i="18"/>
  <c r="L21" i="18"/>
  <c r="M21" i="18"/>
  <c r="N21" i="18"/>
  <c r="J22" i="18"/>
  <c r="L22" i="18"/>
  <c r="M22" i="18"/>
  <c r="N22" i="18"/>
  <c r="J23" i="18"/>
  <c r="L23" i="18"/>
  <c r="M23" i="18"/>
  <c r="N23" i="18"/>
  <c r="J24" i="18"/>
  <c r="L24" i="18"/>
  <c r="M24" i="18"/>
  <c r="N24" i="18"/>
  <c r="J25" i="18"/>
  <c r="L25" i="18"/>
  <c r="M25" i="18"/>
  <c r="N25" i="18"/>
  <c r="L26" i="18"/>
  <c r="M26" i="18"/>
  <c r="N26" i="18"/>
  <c r="L27" i="18"/>
  <c r="M27" i="18"/>
  <c r="N27" i="18"/>
  <c r="L28" i="18"/>
  <c r="M28" i="18"/>
  <c r="N28" i="18"/>
  <c r="L29" i="18"/>
  <c r="M29" i="18"/>
  <c r="N29" i="18"/>
  <c r="J30" i="18"/>
  <c r="L30" i="18"/>
  <c r="M30" i="18"/>
  <c r="N30" i="18"/>
  <c r="J31" i="18"/>
  <c r="L31" i="18"/>
  <c r="M31" i="18"/>
  <c r="N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L32" i="18"/>
  <c r="M32" i="18"/>
  <c r="N32" i="18"/>
  <c r="L33" i="18"/>
  <c r="M33" i="18"/>
  <c r="N33" i="18"/>
  <c r="L34" i="18"/>
  <c r="M34" i="18"/>
  <c r="N34" i="18"/>
  <c r="L35" i="18"/>
  <c r="M35" i="18"/>
  <c r="N35" i="18"/>
  <c r="L36" i="18"/>
  <c r="M36" i="18"/>
  <c r="N36" i="18"/>
  <c r="L37" i="18"/>
  <c r="M37" i="18"/>
  <c r="N37" i="18"/>
  <c r="L38" i="18"/>
  <c r="M38" i="18"/>
  <c r="N38" i="18"/>
  <c r="L39" i="18"/>
  <c r="M39" i="18"/>
  <c r="N39" i="18"/>
  <c r="L40" i="18"/>
  <c r="M40" i="18"/>
  <c r="N40" i="18"/>
  <c r="L41" i="18"/>
  <c r="M41" i="18"/>
  <c r="N41" i="18"/>
  <c r="L42" i="18"/>
  <c r="M42" i="18"/>
  <c r="N42" i="18"/>
  <c r="L43" i="18"/>
  <c r="M43" i="18"/>
  <c r="N43" i="18"/>
  <c r="L44" i="18"/>
  <c r="M44" i="18"/>
  <c r="N44" i="18"/>
  <c r="L45" i="18"/>
  <c r="M45" i="18"/>
  <c r="N45" i="18"/>
  <c r="L46" i="18"/>
  <c r="M46" i="18"/>
  <c r="N46" i="18"/>
  <c r="N46" i="17"/>
  <c r="M46" i="17"/>
  <c r="L46" i="17"/>
  <c r="N45" i="17"/>
  <c r="M45" i="17"/>
  <c r="L45" i="17"/>
  <c r="J45" i="17"/>
  <c r="N44" i="17"/>
  <c r="M44" i="17"/>
  <c r="L44" i="17"/>
  <c r="J44" i="17"/>
  <c r="N43" i="17"/>
  <c r="M43" i="17"/>
  <c r="L43" i="17"/>
  <c r="J43" i="17"/>
  <c r="N42" i="17"/>
  <c r="M42" i="17"/>
  <c r="L42" i="17"/>
  <c r="J42" i="17"/>
  <c r="N41" i="17"/>
  <c r="M41" i="17"/>
  <c r="L41" i="17"/>
  <c r="J41" i="17"/>
  <c r="N40" i="17"/>
  <c r="M40" i="17"/>
  <c r="L40" i="17"/>
  <c r="J40" i="17"/>
  <c r="N39" i="17"/>
  <c r="M39" i="17"/>
  <c r="L39" i="17"/>
  <c r="J39" i="17"/>
  <c r="N38" i="17"/>
  <c r="M38" i="17"/>
  <c r="L38" i="17"/>
  <c r="J38" i="17"/>
  <c r="N37" i="17"/>
  <c r="M37" i="17"/>
  <c r="L37" i="17"/>
  <c r="J37" i="17"/>
  <c r="N36" i="17"/>
  <c r="M36" i="17"/>
  <c r="L36" i="17"/>
  <c r="J36" i="17"/>
  <c r="N35" i="17"/>
  <c r="M35" i="17"/>
  <c r="L35" i="17"/>
  <c r="J35" i="17"/>
  <c r="N34" i="17"/>
  <c r="M34" i="17"/>
  <c r="L34" i="17"/>
  <c r="J34" i="17"/>
  <c r="N33" i="17"/>
  <c r="M33" i="17"/>
  <c r="L33" i="17"/>
  <c r="J33" i="17"/>
  <c r="N32" i="17"/>
  <c r="M32" i="17"/>
  <c r="L32" i="17"/>
  <c r="J32" i="17"/>
  <c r="N31" i="17"/>
  <c r="M31" i="17"/>
  <c r="L31" i="17"/>
  <c r="J31" i="17"/>
  <c r="N30" i="17"/>
  <c r="M30" i="17"/>
  <c r="L30" i="17"/>
  <c r="J30" i="17"/>
  <c r="N29" i="17"/>
  <c r="M29" i="17"/>
  <c r="L29" i="17"/>
  <c r="J29" i="17"/>
  <c r="N28" i="17"/>
  <c r="M28" i="17"/>
  <c r="L28" i="17"/>
  <c r="J28" i="17"/>
  <c r="N27" i="17"/>
  <c r="M27" i="17"/>
  <c r="L27" i="17"/>
  <c r="J27" i="17"/>
  <c r="N26" i="17"/>
  <c r="M26" i="17"/>
  <c r="L26" i="17"/>
  <c r="J26" i="17"/>
  <c r="N25" i="17"/>
  <c r="M25" i="17"/>
  <c r="L25" i="17"/>
  <c r="J25" i="17"/>
  <c r="N24" i="17"/>
  <c r="M24" i="17"/>
  <c r="L24" i="17"/>
  <c r="J24" i="17"/>
  <c r="N23" i="17"/>
  <c r="M23" i="17"/>
  <c r="L23" i="17"/>
  <c r="J23" i="17"/>
  <c r="N22" i="17"/>
  <c r="M22" i="17"/>
  <c r="L22" i="17"/>
  <c r="J22" i="17"/>
  <c r="N21" i="17"/>
  <c r="M21" i="17"/>
  <c r="L21" i="17"/>
  <c r="J21" i="17"/>
  <c r="N20" i="17"/>
  <c r="M20" i="17"/>
  <c r="L20" i="17"/>
  <c r="J20" i="17"/>
  <c r="N19" i="17"/>
  <c r="M19" i="17"/>
  <c r="L19" i="17"/>
  <c r="J19" i="17"/>
  <c r="N18" i="17"/>
  <c r="M18" i="17"/>
  <c r="L18" i="17"/>
  <c r="J18" i="17"/>
  <c r="N17" i="17"/>
  <c r="M17" i="17"/>
  <c r="L17" i="17"/>
  <c r="J17" i="17"/>
  <c r="N16" i="17"/>
  <c r="M16" i="17"/>
  <c r="L16" i="17"/>
  <c r="J16" i="17"/>
  <c r="N15" i="17"/>
  <c r="M15" i="17"/>
  <c r="L15" i="17"/>
  <c r="J15" i="17"/>
  <c r="N14" i="17"/>
  <c r="M14" i="17"/>
  <c r="L14" i="17"/>
  <c r="J14" i="17"/>
  <c r="N13" i="17"/>
  <c r="M13" i="17"/>
  <c r="L13" i="17"/>
  <c r="J13" i="17"/>
  <c r="N12" i="17"/>
  <c r="M12" i="17"/>
  <c r="L12" i="17"/>
  <c r="J12" i="17"/>
  <c r="N11" i="17"/>
  <c r="M11" i="17"/>
  <c r="L11" i="17"/>
  <c r="J11" i="17"/>
  <c r="N10" i="17"/>
  <c r="M10" i="17"/>
  <c r="L10" i="17"/>
  <c r="J10" i="17"/>
  <c r="N9" i="17"/>
  <c r="M9" i="17"/>
  <c r="L9" i="17"/>
  <c r="J9" i="17"/>
  <c r="N8" i="17"/>
  <c r="M8" i="17"/>
  <c r="L8" i="17"/>
  <c r="J8" i="17"/>
  <c r="N7" i="17"/>
  <c r="M7" i="17"/>
  <c r="L7" i="17"/>
  <c r="J7" i="17"/>
  <c r="N6" i="17"/>
  <c r="M6" i="17"/>
  <c r="L6" i="17"/>
  <c r="J6" i="17"/>
  <c r="N5" i="17"/>
  <c r="M5" i="17"/>
  <c r="L5" i="17"/>
  <c r="J5" i="17"/>
  <c r="N4" i="17"/>
  <c r="M4" i="17"/>
  <c r="L4" i="17"/>
  <c r="J4" i="17"/>
  <c r="N3" i="17"/>
  <c r="M3" i="17"/>
  <c r="L3" i="17"/>
  <c r="J3" i="17"/>
  <c r="N2" i="17"/>
  <c r="M2" i="17"/>
  <c r="L2" i="17"/>
  <c r="J2" i="17"/>
  <c r="N37" i="16"/>
  <c r="M37" i="16"/>
  <c r="L37" i="16"/>
  <c r="J37" i="16"/>
  <c r="N36" i="16"/>
  <c r="M36" i="16"/>
  <c r="L36" i="16"/>
  <c r="J36" i="16"/>
  <c r="N35" i="16"/>
  <c r="M35" i="16"/>
  <c r="L35" i="16"/>
  <c r="J35" i="16"/>
  <c r="N34" i="16"/>
  <c r="M34" i="16"/>
  <c r="L34" i="16"/>
  <c r="J34" i="16"/>
  <c r="N33" i="16"/>
  <c r="M33" i="16"/>
  <c r="L33" i="16"/>
  <c r="J33" i="16"/>
  <c r="N32" i="16"/>
  <c r="M32" i="16"/>
  <c r="L32" i="16"/>
  <c r="N31" i="16"/>
  <c r="M31" i="16"/>
  <c r="L31" i="16"/>
  <c r="N30" i="16"/>
  <c r="M30" i="16"/>
  <c r="L30" i="16"/>
  <c r="J30" i="16"/>
  <c r="N29" i="16"/>
  <c r="M29" i="16"/>
  <c r="L29" i="16"/>
  <c r="J29" i="16"/>
  <c r="N28" i="16"/>
  <c r="M28" i="16"/>
  <c r="L28" i="16"/>
  <c r="J28" i="16"/>
  <c r="N27" i="16"/>
  <c r="M27" i="16"/>
  <c r="L27" i="16"/>
  <c r="J27" i="16"/>
  <c r="N26" i="16"/>
  <c r="M26" i="16"/>
  <c r="L26" i="16"/>
  <c r="J26" i="16"/>
  <c r="N25" i="16"/>
  <c r="M25" i="16"/>
  <c r="L25" i="16"/>
  <c r="J25" i="16"/>
  <c r="N24" i="16"/>
  <c r="M24" i="16"/>
  <c r="L24" i="16"/>
  <c r="J24" i="16"/>
  <c r="N23" i="16"/>
  <c r="M23" i="16"/>
  <c r="L23" i="16"/>
  <c r="J23" i="16"/>
  <c r="N22" i="16"/>
  <c r="M22" i="16"/>
  <c r="L22" i="16"/>
  <c r="J22" i="16"/>
  <c r="N21" i="16"/>
  <c r="M21" i="16"/>
  <c r="L21" i="16"/>
  <c r="J21" i="16"/>
  <c r="N20" i="16"/>
  <c r="M20" i="16"/>
  <c r="L20" i="16"/>
  <c r="J20" i="16"/>
  <c r="N19" i="16"/>
  <c r="M19" i="16"/>
  <c r="L19" i="16"/>
  <c r="J19" i="16"/>
  <c r="N18" i="16"/>
  <c r="M18" i="16"/>
  <c r="L18" i="16"/>
  <c r="J18" i="16"/>
  <c r="N17" i="16"/>
  <c r="M17" i="16"/>
  <c r="L17" i="16"/>
  <c r="J17" i="16"/>
  <c r="N16" i="16"/>
  <c r="M16" i="16"/>
  <c r="L16" i="16"/>
  <c r="J16" i="16"/>
  <c r="N15" i="16"/>
  <c r="M15" i="16"/>
  <c r="L15" i="16"/>
  <c r="J15" i="16"/>
  <c r="N14" i="16"/>
  <c r="M14" i="16"/>
  <c r="L14" i="16"/>
  <c r="J14" i="16"/>
  <c r="N13" i="16"/>
  <c r="M13" i="16"/>
  <c r="L13" i="16"/>
  <c r="J13" i="16"/>
  <c r="N12" i="16"/>
  <c r="M12" i="16"/>
  <c r="L12" i="16"/>
  <c r="J12" i="16"/>
  <c r="N11" i="16"/>
  <c r="M11" i="16"/>
  <c r="L11" i="16"/>
  <c r="J11" i="16"/>
  <c r="N10" i="16"/>
  <c r="M10" i="16"/>
  <c r="L10" i="16"/>
  <c r="J10" i="16"/>
  <c r="N9" i="16"/>
  <c r="M9" i="16"/>
  <c r="L9" i="16"/>
  <c r="J9" i="16"/>
  <c r="N8" i="16"/>
  <c r="M8" i="16"/>
  <c r="L8" i="16"/>
  <c r="J8" i="16"/>
  <c r="N7" i="16"/>
  <c r="M7" i="16"/>
  <c r="L7" i="16"/>
  <c r="J7" i="16"/>
  <c r="N6" i="16"/>
  <c r="M6" i="16"/>
  <c r="L6" i="16"/>
  <c r="J6" i="16"/>
  <c r="N5" i="16"/>
  <c r="M5" i="16"/>
  <c r="L5" i="16"/>
  <c r="J5" i="16"/>
  <c r="N4" i="16"/>
  <c r="M4" i="16"/>
  <c r="L4" i="16"/>
  <c r="J4" i="16"/>
  <c r="N3" i="16"/>
  <c r="M3" i="16"/>
  <c r="L3" i="16"/>
  <c r="J3" i="16"/>
  <c r="N2" i="16"/>
  <c r="M2" i="16"/>
  <c r="L2" i="16"/>
  <c r="J2" i="16"/>
  <c r="N37" i="7"/>
  <c r="M37" i="7"/>
  <c r="L37" i="7"/>
  <c r="N36" i="7"/>
  <c r="M36" i="7"/>
  <c r="L36" i="7"/>
  <c r="N35" i="7"/>
  <c r="M35" i="7"/>
  <c r="L35" i="7"/>
  <c r="N34" i="7"/>
  <c r="M34" i="7"/>
  <c r="L34" i="7"/>
  <c r="N33" i="7"/>
  <c r="M33" i="7"/>
  <c r="L33" i="7"/>
  <c r="N32" i="7"/>
  <c r="M32" i="7"/>
  <c r="L32" i="7"/>
  <c r="N31" i="7"/>
  <c r="M31" i="7"/>
  <c r="L31" i="7"/>
  <c r="N30" i="7"/>
  <c r="M30" i="7"/>
  <c r="L30" i="7"/>
  <c r="J37" i="7"/>
  <c r="J36" i="7"/>
  <c r="J35" i="7"/>
  <c r="J34" i="7"/>
  <c r="J33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J2" i="7"/>
  <c r="N46" i="15"/>
  <c r="M46" i="15"/>
  <c r="L46" i="15"/>
  <c r="N45" i="15"/>
  <c r="M45" i="15"/>
  <c r="L45" i="15"/>
  <c r="J45" i="15"/>
  <c r="N44" i="15"/>
  <c r="M44" i="15"/>
  <c r="L44" i="15"/>
  <c r="J44" i="15"/>
  <c r="N43" i="15"/>
  <c r="M43" i="15"/>
  <c r="L43" i="15"/>
  <c r="J43" i="15"/>
  <c r="N42" i="15"/>
  <c r="M42" i="15"/>
  <c r="L42" i="15"/>
  <c r="J42" i="15"/>
  <c r="N41" i="15"/>
  <c r="M41" i="15"/>
  <c r="L41" i="15"/>
  <c r="J41" i="15"/>
  <c r="N40" i="15"/>
  <c r="M40" i="15"/>
  <c r="L40" i="15"/>
  <c r="J40" i="15"/>
  <c r="N39" i="15"/>
  <c r="M39" i="15"/>
  <c r="L39" i="15"/>
  <c r="J39" i="15"/>
  <c r="N38" i="15"/>
  <c r="M38" i="15"/>
  <c r="L38" i="15"/>
  <c r="J38" i="15"/>
  <c r="N37" i="15"/>
  <c r="M37" i="15"/>
  <c r="L37" i="15"/>
  <c r="N36" i="15"/>
  <c r="M36" i="15"/>
  <c r="L36" i="15"/>
  <c r="N35" i="15"/>
  <c r="M35" i="15"/>
  <c r="L35" i="15"/>
  <c r="J35" i="15"/>
  <c r="N34" i="15"/>
  <c r="M34" i="15"/>
  <c r="L34" i="15"/>
  <c r="J34" i="15"/>
  <c r="N33" i="15"/>
  <c r="M33" i="15"/>
  <c r="L33" i="15"/>
  <c r="J33" i="15"/>
  <c r="N32" i="15"/>
  <c r="M32" i="15"/>
  <c r="L32" i="15"/>
  <c r="J32" i="15"/>
  <c r="N31" i="15"/>
  <c r="M31" i="15"/>
  <c r="L31" i="15"/>
  <c r="J31" i="15"/>
  <c r="N30" i="15"/>
  <c r="M30" i="15"/>
  <c r="L30" i="15"/>
  <c r="J30" i="15"/>
  <c r="N29" i="15"/>
  <c r="M29" i="15"/>
  <c r="L29" i="15"/>
  <c r="J29" i="15"/>
  <c r="N28" i="15"/>
  <c r="M28" i="15"/>
  <c r="L28" i="15"/>
  <c r="J28" i="15"/>
  <c r="N27" i="15"/>
  <c r="M27" i="15"/>
  <c r="L27" i="15"/>
  <c r="J27" i="15"/>
  <c r="N26" i="15"/>
  <c r="M26" i="15"/>
  <c r="L26" i="15"/>
  <c r="J26" i="15"/>
  <c r="N25" i="15"/>
  <c r="M25" i="15"/>
  <c r="L25" i="15"/>
  <c r="J25" i="15"/>
  <c r="N24" i="15"/>
  <c r="M24" i="15"/>
  <c r="L24" i="15"/>
  <c r="J24" i="15"/>
  <c r="N23" i="15"/>
  <c r="M23" i="15"/>
  <c r="L23" i="15"/>
  <c r="J23" i="15"/>
  <c r="N22" i="15"/>
  <c r="M22" i="15"/>
  <c r="L22" i="15"/>
  <c r="J22" i="15"/>
  <c r="N21" i="15"/>
  <c r="M21" i="15"/>
  <c r="L21" i="15"/>
  <c r="J21" i="15"/>
  <c r="N20" i="15"/>
  <c r="M20" i="15"/>
  <c r="L20" i="15"/>
  <c r="J20" i="15"/>
  <c r="N19" i="15"/>
  <c r="M19" i="15"/>
  <c r="L19" i="15"/>
  <c r="J19" i="15"/>
  <c r="N18" i="15"/>
  <c r="M18" i="15"/>
  <c r="L18" i="15"/>
  <c r="J18" i="15"/>
  <c r="N17" i="15"/>
  <c r="M17" i="15"/>
  <c r="L17" i="15"/>
  <c r="J17" i="15"/>
  <c r="N16" i="15"/>
  <c r="M16" i="15"/>
  <c r="L16" i="15"/>
  <c r="J16" i="15"/>
  <c r="N15" i="15"/>
  <c r="M15" i="15"/>
  <c r="L15" i="15"/>
  <c r="J15" i="15"/>
  <c r="N14" i="15"/>
  <c r="M14" i="15"/>
  <c r="L14" i="15"/>
  <c r="J14" i="15"/>
  <c r="N13" i="15"/>
  <c r="M13" i="15"/>
  <c r="L13" i="15"/>
  <c r="J13" i="15"/>
  <c r="N12" i="15"/>
  <c r="M12" i="15"/>
  <c r="L12" i="15"/>
  <c r="J12" i="15"/>
  <c r="N11" i="15"/>
  <c r="M11" i="15"/>
  <c r="L11" i="15"/>
  <c r="J11" i="15"/>
  <c r="N10" i="15"/>
  <c r="M10" i="15"/>
  <c r="L10" i="15"/>
  <c r="J10" i="15"/>
  <c r="N9" i="15"/>
  <c r="M9" i="15"/>
  <c r="L9" i="15"/>
  <c r="J9" i="15"/>
  <c r="N8" i="15"/>
  <c r="M8" i="15"/>
  <c r="L8" i="15"/>
  <c r="J8" i="15"/>
  <c r="N7" i="15"/>
  <c r="M7" i="15"/>
  <c r="L7" i="15"/>
  <c r="J7" i="15"/>
  <c r="N6" i="15"/>
  <c r="M6" i="15"/>
  <c r="L6" i="15"/>
  <c r="J6" i="15"/>
  <c r="N5" i="15"/>
  <c r="M5" i="15"/>
  <c r="L5" i="15"/>
  <c r="J5" i="15"/>
  <c r="N4" i="15"/>
  <c r="M4" i="15"/>
  <c r="L4" i="15"/>
  <c r="J4" i="15"/>
  <c r="N3" i="15"/>
  <c r="M3" i="15"/>
  <c r="L3" i="15"/>
  <c r="J3" i="15"/>
  <c r="N2" i="15"/>
  <c r="M2" i="15"/>
  <c r="L2" i="15"/>
  <c r="J2" i="15"/>
  <c r="N46" i="6"/>
  <c r="M46" i="6"/>
  <c r="L46" i="6"/>
  <c r="N45" i="6"/>
  <c r="M45" i="6"/>
  <c r="L45" i="6"/>
  <c r="N44" i="6"/>
  <c r="M44" i="6"/>
  <c r="L44" i="6"/>
  <c r="N43" i="6"/>
  <c r="M43" i="6"/>
  <c r="L43" i="6"/>
  <c r="N42" i="6"/>
  <c r="M42" i="6"/>
  <c r="L42" i="6"/>
  <c r="N41" i="6"/>
  <c r="M41" i="6"/>
  <c r="L41" i="6"/>
  <c r="N40" i="6"/>
  <c r="M40" i="6"/>
  <c r="L40" i="6"/>
  <c r="N39" i="6"/>
  <c r="M39" i="6"/>
  <c r="L39" i="6"/>
  <c r="N38" i="6"/>
  <c r="M38" i="6"/>
  <c r="L38" i="6"/>
  <c r="N37" i="6"/>
  <c r="M37" i="6"/>
  <c r="L37" i="6"/>
  <c r="N36" i="6"/>
  <c r="M36" i="6"/>
  <c r="L36" i="6"/>
  <c r="N35" i="6"/>
  <c r="M35" i="6"/>
  <c r="L35" i="6"/>
  <c r="N34" i="6"/>
  <c r="M34" i="6"/>
  <c r="L34" i="6"/>
  <c r="N33" i="6"/>
  <c r="M33" i="6"/>
  <c r="L33" i="6"/>
  <c r="N32" i="6"/>
  <c r="M32" i="6"/>
  <c r="L32" i="6"/>
  <c r="N31" i="6"/>
  <c r="M31" i="6"/>
  <c r="L31" i="6"/>
  <c r="N30" i="6"/>
  <c r="M30" i="6"/>
  <c r="L30" i="6"/>
  <c r="J45" i="6"/>
  <c r="J44" i="6"/>
  <c r="J43" i="6"/>
  <c r="J42" i="6"/>
  <c r="J41" i="6"/>
  <c r="J40" i="6"/>
  <c r="J39" i="6"/>
  <c r="J38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N46" i="14"/>
  <c r="M46" i="14"/>
  <c r="L46" i="14"/>
  <c r="J46" i="14"/>
  <c r="N45" i="14"/>
  <c r="M45" i="14"/>
  <c r="L45" i="14"/>
  <c r="J45" i="14"/>
  <c r="N44" i="14"/>
  <c r="M44" i="14"/>
  <c r="L44" i="14"/>
  <c r="J44" i="14"/>
  <c r="N43" i="14"/>
  <c r="M43" i="14"/>
  <c r="L43" i="14"/>
  <c r="J43" i="14"/>
  <c r="N42" i="14"/>
  <c r="M42" i="14"/>
  <c r="L42" i="14"/>
  <c r="J42" i="14"/>
  <c r="N41" i="14"/>
  <c r="M41" i="14"/>
  <c r="L41" i="14"/>
  <c r="J41" i="14"/>
  <c r="N40" i="14"/>
  <c r="M40" i="14"/>
  <c r="L40" i="14"/>
  <c r="J40" i="14"/>
  <c r="N39" i="14"/>
  <c r="M39" i="14"/>
  <c r="L39" i="14"/>
  <c r="J39" i="14"/>
  <c r="N38" i="14"/>
  <c r="M38" i="14"/>
  <c r="L38" i="14"/>
  <c r="J38" i="14"/>
  <c r="N37" i="14"/>
  <c r="M37" i="14"/>
  <c r="L37" i="14"/>
  <c r="J37" i="14"/>
  <c r="N36" i="14"/>
  <c r="M36" i="14"/>
  <c r="L36" i="14"/>
  <c r="J36" i="14"/>
  <c r="N35" i="14"/>
  <c r="M35" i="14"/>
  <c r="L35" i="14"/>
  <c r="J35" i="14"/>
  <c r="N34" i="14"/>
  <c r="M34" i="14"/>
  <c r="L34" i="14"/>
  <c r="J34" i="14"/>
  <c r="N33" i="14"/>
  <c r="M33" i="14"/>
  <c r="L33" i="14"/>
  <c r="J33" i="14"/>
  <c r="N32" i="14"/>
  <c r="M32" i="14"/>
  <c r="L32" i="14"/>
  <c r="J32" i="14"/>
  <c r="N31" i="14"/>
  <c r="M31" i="14"/>
  <c r="L31" i="14"/>
  <c r="J31" i="14"/>
  <c r="N30" i="14"/>
  <c r="M30" i="14"/>
  <c r="L30" i="14"/>
  <c r="J30" i="14"/>
  <c r="N29" i="14"/>
  <c r="M29" i="14"/>
  <c r="L29" i="14"/>
  <c r="J29" i="14"/>
  <c r="N28" i="14"/>
  <c r="M28" i="14"/>
  <c r="L28" i="14"/>
  <c r="J28" i="14"/>
  <c r="N27" i="14"/>
  <c r="M27" i="14"/>
  <c r="L27" i="14"/>
  <c r="J27" i="14"/>
  <c r="N26" i="14"/>
  <c r="M26" i="14"/>
  <c r="L26" i="14"/>
  <c r="J26" i="14"/>
  <c r="N25" i="14"/>
  <c r="M25" i="14"/>
  <c r="L25" i="14"/>
  <c r="J25" i="14"/>
  <c r="N24" i="14"/>
  <c r="M24" i="14"/>
  <c r="L24" i="14"/>
  <c r="J24" i="14"/>
  <c r="N23" i="14"/>
  <c r="M23" i="14"/>
  <c r="L23" i="14"/>
  <c r="J23" i="14"/>
  <c r="N22" i="14"/>
  <c r="M22" i="14"/>
  <c r="L22" i="14"/>
  <c r="J22" i="14"/>
  <c r="N21" i="14"/>
  <c r="M21" i="14"/>
  <c r="L21" i="14"/>
  <c r="J21" i="14"/>
  <c r="N20" i="14"/>
  <c r="M20" i="14"/>
  <c r="L20" i="14"/>
  <c r="J20" i="14"/>
  <c r="N19" i="14"/>
  <c r="M19" i="14"/>
  <c r="L19" i="14"/>
  <c r="J19" i="14"/>
  <c r="N18" i="14"/>
  <c r="M18" i="14"/>
  <c r="L18" i="14"/>
  <c r="J18" i="14"/>
  <c r="N17" i="14"/>
  <c r="M17" i="14"/>
  <c r="L17" i="14"/>
  <c r="J17" i="14"/>
  <c r="N16" i="14"/>
  <c r="M16" i="14"/>
  <c r="L16" i="14"/>
  <c r="J16" i="14"/>
  <c r="N15" i="14"/>
  <c r="M15" i="14"/>
  <c r="L15" i="14"/>
  <c r="J15" i="14"/>
  <c r="N14" i="14"/>
  <c r="M14" i="14"/>
  <c r="L14" i="14"/>
  <c r="J14" i="14"/>
  <c r="N13" i="14"/>
  <c r="M13" i="14"/>
  <c r="L13" i="14"/>
  <c r="J13" i="14"/>
  <c r="N12" i="14"/>
  <c r="M12" i="14"/>
  <c r="L12" i="14"/>
  <c r="J12" i="14"/>
  <c r="N11" i="14"/>
  <c r="M11" i="14"/>
  <c r="L11" i="14"/>
  <c r="J11" i="14"/>
  <c r="N10" i="14"/>
  <c r="M10" i="14"/>
  <c r="L10" i="14"/>
  <c r="J10" i="14"/>
  <c r="N9" i="14"/>
  <c r="M9" i="14"/>
  <c r="L9" i="14"/>
  <c r="J9" i="14"/>
  <c r="N8" i="14"/>
  <c r="M8" i="14"/>
  <c r="L8" i="14"/>
  <c r="J8" i="14"/>
  <c r="N7" i="14"/>
  <c r="M7" i="14"/>
  <c r="L7" i="14"/>
  <c r="J7" i="14"/>
  <c r="N6" i="14"/>
  <c r="M6" i="14"/>
  <c r="L6" i="14"/>
  <c r="J6" i="14"/>
  <c r="N5" i="14"/>
  <c r="M5" i="14"/>
  <c r="L5" i="14"/>
  <c r="J5" i="14"/>
  <c r="N4" i="14"/>
  <c r="M4" i="14"/>
  <c r="L4" i="14"/>
  <c r="J4" i="14"/>
  <c r="N3" i="14"/>
  <c r="M3" i="14"/>
  <c r="L3" i="14"/>
  <c r="J3" i="14"/>
  <c r="N2" i="14"/>
  <c r="M2" i="14"/>
  <c r="L2" i="14"/>
  <c r="J2" i="14"/>
  <c r="N46" i="5"/>
  <c r="M46" i="5"/>
  <c r="L46" i="5"/>
  <c r="N45" i="5"/>
  <c r="M45" i="5"/>
  <c r="L45" i="5"/>
  <c r="N44" i="5"/>
  <c r="M44" i="5"/>
  <c r="L44" i="5"/>
  <c r="N43" i="5"/>
  <c r="M43" i="5"/>
  <c r="L43" i="5"/>
  <c r="N42" i="5"/>
  <c r="M42" i="5"/>
  <c r="L42" i="5"/>
  <c r="N41" i="5"/>
  <c r="M41" i="5"/>
  <c r="L41" i="5"/>
  <c r="N40" i="5"/>
  <c r="M40" i="5"/>
  <c r="L40" i="5"/>
  <c r="N39" i="5"/>
  <c r="M39" i="5"/>
  <c r="L39" i="5"/>
  <c r="N38" i="5"/>
  <c r="M38" i="5"/>
  <c r="L38" i="5"/>
  <c r="N37" i="5"/>
  <c r="M37" i="5"/>
  <c r="L37" i="5"/>
  <c r="N36" i="5"/>
  <c r="M36" i="5"/>
  <c r="L36" i="5"/>
  <c r="N35" i="5"/>
  <c r="M35" i="5"/>
  <c r="L35" i="5"/>
  <c r="N34" i="5"/>
  <c r="M34" i="5"/>
  <c r="L34" i="5"/>
  <c r="N33" i="5"/>
  <c r="M33" i="5"/>
  <c r="L33" i="5"/>
  <c r="N32" i="5"/>
  <c r="M32" i="5"/>
  <c r="L32" i="5"/>
  <c r="N31" i="5"/>
  <c r="M31" i="5"/>
  <c r="L31" i="5"/>
  <c r="N30" i="5"/>
  <c r="M30" i="5"/>
  <c r="L30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J12" i="13"/>
  <c r="J11" i="13"/>
  <c r="J10" i="13"/>
  <c r="J9" i="13"/>
  <c r="J8" i="13"/>
  <c r="J7" i="13"/>
  <c r="J6" i="13"/>
  <c r="J5" i="13"/>
  <c r="J4" i="13"/>
  <c r="J3" i="13"/>
  <c r="J2" i="13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N46" i="13"/>
  <c r="M46" i="13"/>
  <c r="L46" i="13"/>
  <c r="N45" i="13"/>
  <c r="M45" i="13"/>
  <c r="L45" i="13"/>
  <c r="N44" i="13"/>
  <c r="M44" i="13"/>
  <c r="L44" i="13"/>
  <c r="N43" i="13"/>
  <c r="M43" i="13"/>
  <c r="L43" i="13"/>
  <c r="N42" i="13"/>
  <c r="M42" i="13"/>
  <c r="L42" i="13"/>
  <c r="N41" i="13"/>
  <c r="M41" i="13"/>
  <c r="L41" i="13"/>
  <c r="N40" i="13"/>
  <c r="M40" i="13"/>
  <c r="L40" i="13"/>
  <c r="N39" i="13"/>
  <c r="M39" i="13"/>
  <c r="L39" i="13"/>
  <c r="N38" i="13"/>
  <c r="M38" i="13"/>
  <c r="L38" i="13"/>
  <c r="N37" i="13"/>
  <c r="M37" i="13"/>
  <c r="L37" i="13"/>
  <c r="N36" i="13"/>
  <c r="M36" i="13"/>
  <c r="L36" i="13"/>
  <c r="N35" i="13"/>
  <c r="M35" i="13"/>
  <c r="L35" i="13"/>
  <c r="N34" i="13"/>
  <c r="M34" i="13"/>
  <c r="L34" i="13"/>
  <c r="N33" i="13"/>
  <c r="M33" i="13"/>
  <c r="L33" i="13"/>
  <c r="N32" i="13"/>
  <c r="M32" i="13"/>
  <c r="L32" i="13"/>
  <c r="N31" i="13"/>
  <c r="M31" i="13"/>
  <c r="L31" i="13"/>
  <c r="N30" i="13"/>
  <c r="M30" i="13"/>
  <c r="L30" i="13"/>
  <c r="N29" i="13"/>
  <c r="M29" i="13"/>
  <c r="L29" i="13"/>
  <c r="N28" i="13"/>
  <c r="M28" i="13"/>
  <c r="L28" i="13"/>
  <c r="N27" i="13"/>
  <c r="M27" i="13"/>
  <c r="L27" i="13"/>
  <c r="N26" i="13"/>
  <c r="M26" i="13"/>
  <c r="L26" i="13"/>
  <c r="N25" i="13"/>
  <c r="M25" i="13"/>
  <c r="L25" i="13"/>
  <c r="N24" i="13"/>
  <c r="M24" i="13"/>
  <c r="L24" i="13"/>
  <c r="N23" i="13"/>
  <c r="M23" i="13"/>
  <c r="L23" i="13"/>
  <c r="N22" i="13"/>
  <c r="M22" i="13"/>
  <c r="L22" i="13"/>
  <c r="N21" i="13"/>
  <c r="M21" i="13"/>
  <c r="L21" i="13"/>
  <c r="N20" i="13"/>
  <c r="M20" i="13"/>
  <c r="L20" i="13"/>
  <c r="N19" i="13"/>
  <c r="M19" i="13"/>
  <c r="L19" i="13"/>
  <c r="N18" i="13"/>
  <c r="M18" i="13"/>
  <c r="L18" i="13"/>
  <c r="N17" i="13"/>
  <c r="M17" i="13"/>
  <c r="L17" i="13"/>
  <c r="N16" i="13"/>
  <c r="M16" i="13"/>
  <c r="L16" i="13"/>
  <c r="N15" i="13"/>
  <c r="M15" i="13"/>
  <c r="L15" i="13"/>
  <c r="N14" i="13"/>
  <c r="M14" i="13"/>
  <c r="L14" i="13"/>
  <c r="N13" i="13"/>
  <c r="M13" i="13"/>
  <c r="L13" i="13"/>
  <c r="N12" i="13"/>
  <c r="M12" i="13"/>
  <c r="L12" i="13"/>
  <c r="N11" i="13"/>
  <c r="M11" i="13"/>
  <c r="L11" i="13"/>
  <c r="N10" i="13"/>
  <c r="M10" i="13"/>
  <c r="L10" i="13"/>
  <c r="N9" i="13"/>
  <c r="M9" i="13"/>
  <c r="L9" i="13"/>
  <c r="N8" i="13"/>
  <c r="M8" i="13"/>
  <c r="L8" i="13"/>
  <c r="N7" i="13"/>
  <c r="M7" i="13"/>
  <c r="L7" i="13"/>
  <c r="N6" i="13"/>
  <c r="M6" i="13"/>
  <c r="L6" i="13"/>
  <c r="N5" i="13"/>
  <c r="M5" i="13"/>
  <c r="L5" i="13"/>
  <c r="N4" i="13"/>
  <c r="M4" i="13"/>
  <c r="L4" i="13"/>
  <c r="N3" i="13"/>
  <c r="M3" i="13"/>
  <c r="L3" i="13"/>
  <c r="N2" i="13"/>
  <c r="M2" i="13"/>
  <c r="L2" i="13"/>
  <c r="N46" i="1"/>
  <c r="M46" i="1"/>
  <c r="L46" i="1"/>
  <c r="N45" i="1"/>
  <c r="M45" i="1"/>
  <c r="L45" i="1"/>
  <c r="M40" i="11"/>
  <c r="L40" i="11"/>
  <c r="K40" i="11"/>
  <c r="M39" i="11"/>
  <c r="L39" i="11"/>
  <c r="K39" i="11"/>
  <c r="M38" i="11"/>
  <c r="L38" i="11"/>
  <c r="K38" i="11"/>
  <c r="M37" i="11"/>
  <c r="L37" i="11"/>
  <c r="K37" i="11"/>
  <c r="M36" i="11"/>
  <c r="L36" i="11"/>
  <c r="K36" i="11"/>
  <c r="M35" i="11"/>
  <c r="L35" i="11"/>
  <c r="K35" i="11"/>
  <c r="M34" i="11"/>
  <c r="L34" i="11"/>
  <c r="K34" i="11"/>
  <c r="M33" i="11"/>
  <c r="L33" i="11"/>
  <c r="K33" i="11"/>
  <c r="M32" i="11"/>
  <c r="L32" i="11"/>
  <c r="K32" i="11"/>
  <c r="M31" i="11"/>
  <c r="L31" i="11"/>
  <c r="K31" i="11"/>
  <c r="M30" i="11"/>
  <c r="L30" i="11"/>
  <c r="K30" i="11"/>
  <c r="M29" i="11"/>
  <c r="L29" i="11"/>
  <c r="K29" i="11"/>
  <c r="M28" i="11"/>
  <c r="L28" i="11"/>
  <c r="K28" i="11"/>
  <c r="M27" i="11"/>
  <c r="L27" i="11"/>
  <c r="K27" i="11"/>
  <c r="M26" i="11"/>
  <c r="L26" i="11"/>
  <c r="K26" i="11"/>
  <c r="M25" i="11"/>
  <c r="L25" i="11"/>
  <c r="K25" i="11"/>
  <c r="M24" i="11"/>
  <c r="L24" i="11"/>
  <c r="K24" i="11"/>
  <c r="M23" i="11"/>
  <c r="L23" i="11"/>
  <c r="K23" i="11"/>
  <c r="M22" i="11"/>
  <c r="L22" i="11"/>
  <c r="K22" i="11"/>
  <c r="M21" i="11"/>
  <c r="L21" i="11"/>
  <c r="K21" i="11"/>
  <c r="M20" i="11"/>
  <c r="L20" i="11"/>
  <c r="K20" i="11"/>
  <c r="M19" i="11"/>
  <c r="L19" i="11"/>
  <c r="K19" i="11"/>
  <c r="M18" i="11"/>
  <c r="L18" i="11"/>
  <c r="K18" i="11"/>
  <c r="M17" i="11"/>
  <c r="L17" i="11"/>
  <c r="K17" i="11"/>
  <c r="M16" i="11"/>
  <c r="L16" i="11"/>
  <c r="K16" i="11"/>
  <c r="M15" i="11"/>
  <c r="L15" i="11"/>
  <c r="K15" i="11"/>
  <c r="M14" i="11"/>
  <c r="L14" i="11"/>
  <c r="K14" i="11"/>
  <c r="M13" i="11"/>
  <c r="L13" i="11"/>
  <c r="K13" i="11"/>
  <c r="M12" i="11"/>
  <c r="L12" i="11"/>
  <c r="K12" i="11"/>
  <c r="M11" i="11"/>
  <c r="L11" i="11"/>
  <c r="K11" i="11"/>
  <c r="M10" i="11"/>
  <c r="L10" i="11"/>
  <c r="K10" i="11"/>
  <c r="M9" i="11"/>
  <c r="L9" i="11"/>
  <c r="K9" i="11"/>
  <c r="M8" i="11"/>
  <c r="L8" i="11"/>
  <c r="K8" i="11"/>
  <c r="M7" i="11"/>
  <c r="L7" i="11"/>
  <c r="K7" i="11"/>
  <c r="M6" i="11"/>
  <c r="L6" i="11"/>
  <c r="K6" i="11"/>
  <c r="M5" i="11"/>
  <c r="L5" i="11"/>
  <c r="K5" i="11"/>
  <c r="M4" i="11"/>
  <c r="L4" i="11"/>
  <c r="K4" i="1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M2" i="6"/>
  <c r="L2" i="6"/>
  <c r="N29" i="7" l="1"/>
  <c r="M29" i="7"/>
  <c r="L29" i="7"/>
  <c r="N28" i="7"/>
  <c r="M28" i="7"/>
  <c r="L28" i="7"/>
  <c r="N27" i="7"/>
  <c r="M27" i="7"/>
  <c r="L27" i="7"/>
  <c r="N26" i="7"/>
  <c r="M26" i="7"/>
  <c r="L26" i="7"/>
  <c r="N25" i="7"/>
  <c r="M25" i="7"/>
  <c r="L25" i="7"/>
  <c r="N24" i="7"/>
  <c r="M24" i="7"/>
  <c r="L24" i="7"/>
  <c r="N23" i="7"/>
  <c r="M23" i="7"/>
  <c r="L23" i="7"/>
  <c r="N22" i="7"/>
  <c r="M22" i="7"/>
  <c r="L22" i="7"/>
  <c r="N21" i="7"/>
  <c r="M21" i="7"/>
  <c r="L21" i="7"/>
  <c r="N20" i="7"/>
  <c r="M20" i="7"/>
  <c r="L20" i="7"/>
  <c r="N19" i="7"/>
  <c r="M19" i="7"/>
  <c r="L19" i="7"/>
  <c r="N18" i="7"/>
  <c r="M18" i="7"/>
  <c r="L18" i="7"/>
  <c r="N17" i="7"/>
  <c r="M17" i="7"/>
  <c r="L17" i="7"/>
  <c r="N16" i="7"/>
  <c r="M16" i="7"/>
  <c r="L16" i="7"/>
  <c r="N15" i="7"/>
  <c r="M15" i="7"/>
  <c r="L15" i="7"/>
  <c r="N14" i="7"/>
  <c r="M14" i="7"/>
  <c r="L14" i="7"/>
  <c r="N13" i="7"/>
  <c r="M13" i="7"/>
  <c r="L13" i="7"/>
  <c r="N12" i="7"/>
  <c r="M12" i="7"/>
  <c r="L12" i="7"/>
  <c r="N11" i="7"/>
  <c r="M11" i="7"/>
  <c r="L11" i="7"/>
  <c r="N10" i="7"/>
  <c r="M10" i="7"/>
  <c r="L10" i="7"/>
  <c r="N9" i="7"/>
  <c r="M9" i="7"/>
  <c r="L9" i="7"/>
  <c r="N8" i="7"/>
  <c r="M8" i="7"/>
  <c r="L8" i="7"/>
  <c r="N7" i="7"/>
  <c r="M7" i="7"/>
  <c r="L7" i="7"/>
  <c r="N6" i="7"/>
  <c r="M6" i="7"/>
  <c r="L6" i="7"/>
  <c r="N5" i="7"/>
  <c r="M5" i="7"/>
  <c r="L5" i="7"/>
  <c r="N4" i="7"/>
  <c r="M4" i="7"/>
  <c r="L4" i="7"/>
  <c r="N3" i="7"/>
  <c r="M3" i="7"/>
  <c r="L3" i="7"/>
  <c r="N2" i="7"/>
  <c r="M2" i="7"/>
  <c r="L2" i="7"/>
  <c r="N29" i="6"/>
  <c r="M29" i="6"/>
  <c r="L29" i="6"/>
  <c r="N28" i="6"/>
  <c r="M28" i="6"/>
  <c r="L28" i="6"/>
  <c r="N27" i="6"/>
  <c r="M27" i="6"/>
  <c r="L27" i="6"/>
  <c r="N26" i="6"/>
  <c r="M26" i="6"/>
  <c r="L26" i="6"/>
  <c r="N25" i="6"/>
  <c r="M25" i="6"/>
  <c r="L25" i="6"/>
  <c r="N24" i="6"/>
  <c r="M24" i="6"/>
  <c r="L24" i="6"/>
  <c r="N23" i="6"/>
  <c r="M23" i="6"/>
  <c r="L23" i="6"/>
  <c r="N22" i="6"/>
  <c r="M22" i="6"/>
  <c r="L22" i="6"/>
  <c r="N21" i="6"/>
  <c r="M21" i="6"/>
  <c r="L21" i="6"/>
  <c r="N20" i="6"/>
  <c r="M20" i="6"/>
  <c r="L20" i="6"/>
  <c r="N19" i="6"/>
  <c r="M19" i="6"/>
  <c r="L19" i="6"/>
  <c r="N18" i="6"/>
  <c r="M18" i="6"/>
  <c r="L18" i="6"/>
  <c r="N17" i="6"/>
  <c r="M17" i="6"/>
  <c r="L17" i="6"/>
  <c r="N16" i="6"/>
  <c r="M16" i="6"/>
  <c r="L16" i="6"/>
  <c r="N15" i="6"/>
  <c r="M15" i="6"/>
  <c r="L15" i="6"/>
  <c r="N14" i="6"/>
  <c r="M14" i="6"/>
  <c r="L14" i="6"/>
  <c r="N13" i="6"/>
  <c r="M13" i="6"/>
  <c r="L13" i="6"/>
  <c r="N12" i="6"/>
  <c r="M12" i="6"/>
  <c r="L12" i="6"/>
  <c r="N11" i="6"/>
  <c r="M11" i="6"/>
  <c r="L11" i="6"/>
  <c r="N10" i="6"/>
  <c r="M10" i="6"/>
  <c r="L10" i="6"/>
  <c r="N9" i="6"/>
  <c r="M9" i="6"/>
  <c r="L9" i="6"/>
  <c r="N8" i="6"/>
  <c r="M8" i="6"/>
  <c r="L8" i="6"/>
  <c r="N7" i="6"/>
  <c r="M7" i="6"/>
  <c r="L7" i="6"/>
  <c r="N6" i="6"/>
  <c r="M6" i="6"/>
  <c r="L6" i="6"/>
  <c r="N5" i="6"/>
  <c r="M5" i="6"/>
  <c r="L5" i="6"/>
  <c r="N4" i="6"/>
  <c r="M4" i="6"/>
  <c r="L4" i="6"/>
  <c r="N3" i="6"/>
  <c r="M3" i="6"/>
  <c r="L3" i="6"/>
  <c r="N2" i="6"/>
  <c r="N29" i="5"/>
  <c r="M29" i="5"/>
  <c r="L29" i="5"/>
  <c r="N28" i="5"/>
  <c r="M28" i="5"/>
  <c r="L28" i="5"/>
  <c r="N27" i="5"/>
  <c r="M27" i="5"/>
  <c r="L27" i="5"/>
  <c r="N26" i="5"/>
  <c r="M26" i="5"/>
  <c r="L26" i="5"/>
  <c r="N25" i="5"/>
  <c r="M25" i="5"/>
  <c r="L25" i="5"/>
  <c r="N24" i="5"/>
  <c r="M24" i="5"/>
  <c r="L24" i="5"/>
  <c r="N23" i="5"/>
  <c r="M23" i="5"/>
  <c r="L23" i="5"/>
  <c r="N22" i="5"/>
  <c r="M22" i="5"/>
  <c r="L22" i="5"/>
  <c r="N21" i="5"/>
  <c r="M21" i="5"/>
  <c r="L21" i="5"/>
  <c r="N20" i="5"/>
  <c r="M20" i="5"/>
  <c r="L20" i="5"/>
  <c r="N19" i="5"/>
  <c r="M19" i="5"/>
  <c r="L19" i="5"/>
  <c r="N18" i="5"/>
  <c r="M18" i="5"/>
  <c r="L18" i="5"/>
  <c r="N17" i="5"/>
  <c r="M17" i="5"/>
  <c r="L17" i="5"/>
  <c r="N16" i="5"/>
  <c r="M16" i="5"/>
  <c r="L16" i="5"/>
  <c r="N15" i="5"/>
  <c r="M15" i="5"/>
  <c r="L15" i="5"/>
  <c r="N14" i="5"/>
  <c r="M14" i="5"/>
  <c r="L14" i="5"/>
  <c r="N13" i="5"/>
  <c r="M13" i="5"/>
  <c r="L13" i="5"/>
  <c r="N12" i="5"/>
  <c r="M12" i="5"/>
  <c r="L12" i="5"/>
  <c r="N11" i="5"/>
  <c r="M11" i="5"/>
  <c r="L11" i="5"/>
  <c r="N10" i="5"/>
  <c r="M10" i="5"/>
  <c r="L10" i="5"/>
  <c r="N9" i="5"/>
  <c r="M9" i="5"/>
  <c r="L9" i="5"/>
  <c r="N8" i="5"/>
  <c r="M8" i="5"/>
  <c r="L8" i="5"/>
  <c r="N7" i="5"/>
  <c r="M7" i="5"/>
  <c r="L7" i="5"/>
  <c r="N6" i="5"/>
  <c r="M6" i="5"/>
  <c r="L6" i="5"/>
  <c r="N5" i="5"/>
  <c r="M5" i="5"/>
  <c r="L5" i="5"/>
  <c r="N4" i="5"/>
  <c r="M4" i="5"/>
  <c r="L4" i="5"/>
  <c r="N3" i="5"/>
  <c r="M3" i="5"/>
  <c r="L3" i="5"/>
  <c r="N2" i="5"/>
  <c r="M2" i="5"/>
  <c r="L2" i="5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<sst xmlns="http://schemas.openxmlformats.org/spreadsheetml/2006/main" count="233" uniqueCount="73">
  <si>
    <t>gadgets</t>
  </si>
  <si>
    <t>sg</t>
  </si>
  <si>
    <t>sg+mapping</t>
  </si>
  <si>
    <t>do</t>
  </si>
  <si>
    <t>do+mapping</t>
  </si>
  <si>
    <t>dynamic ordering</t>
  </si>
  <si>
    <t>sg (ms)</t>
  </si>
  <si>
    <t>sgm (ms)</t>
  </si>
  <si>
    <t>do (ms)</t>
  </si>
  <si>
    <t>dom (ms)</t>
  </si>
  <si>
    <t>backend</t>
  </si>
  <si>
    <t>cx do</t>
  </si>
  <si>
    <t>cx dom</t>
  </si>
  <si>
    <t>BeH2_BK_sto3g</t>
  </si>
  <si>
    <t>guadalupe</t>
  </si>
  <si>
    <t>BeH2_JW_sto3g</t>
  </si>
  <si>
    <t>BeH2_P_sto3g</t>
  </si>
  <si>
    <t>mumbai</t>
  </si>
  <si>
    <t>C2_P_sto3g</t>
  </si>
  <si>
    <t>CH2_BK_sto3g</t>
  </si>
  <si>
    <t>CH2_JW_sto3g</t>
  </si>
  <si>
    <t>CH2_P_sto3g</t>
  </si>
  <si>
    <t>H2O_BK_sto3g</t>
  </si>
  <si>
    <t>H2O_JW_sto3g</t>
  </si>
  <si>
    <t>H2O_P_sto3g</t>
  </si>
  <si>
    <t>H2_BK_631g</t>
  </si>
  <si>
    <t>H2_BK_sto3g</t>
  </si>
  <si>
    <t>quito</t>
  </si>
  <si>
    <t>H2_JW_631g</t>
  </si>
  <si>
    <t>H2_JW_sto3g</t>
  </si>
  <si>
    <t>H2_P_631g</t>
  </si>
  <si>
    <t>nairobi</t>
  </si>
  <si>
    <t>H2_P_sto3g</t>
  </si>
  <si>
    <t>H4_BK_631g</t>
  </si>
  <si>
    <t>H4_BK_sto3g</t>
  </si>
  <si>
    <t>H4_JW_631g</t>
  </si>
  <si>
    <t>H4_JW_sto3g</t>
  </si>
  <si>
    <t>H4_P_631g</t>
  </si>
  <si>
    <t>H4_P_sto3g</t>
  </si>
  <si>
    <t>H8_BK_sto3g</t>
  </si>
  <si>
    <t>H8_JW_sto3g</t>
  </si>
  <si>
    <t>HCl_BK_sto3g</t>
  </si>
  <si>
    <t>HCl_JW_sto3g</t>
  </si>
  <si>
    <t>LiH_BK_631g</t>
  </si>
  <si>
    <t>LiH_BK_sto3g</t>
  </si>
  <si>
    <t>LiH_JW_631g</t>
  </si>
  <si>
    <t>LiH_JW_sto3g</t>
  </si>
  <si>
    <t>LiH_P_sto3g</t>
  </si>
  <si>
    <t>N2_P_sto3g</t>
  </si>
  <si>
    <t>NH3_BK_sto3g</t>
  </si>
  <si>
    <t>NH3_JW_sto3g</t>
  </si>
  <si>
    <t>NH_BK_sto3g</t>
  </si>
  <si>
    <t>NH_JW_sto3g</t>
  </si>
  <si>
    <t>NH_P_sto3g</t>
  </si>
  <si>
    <t>do-&gt;dom</t>
  </si>
  <si>
    <t>molecule</t>
  </si>
  <si>
    <t>qubits</t>
  </si>
  <si>
    <t>do + mapping</t>
  </si>
  <si>
    <t>cx lo</t>
  </si>
  <si>
    <t>lo-&gt;do</t>
  </si>
  <si>
    <t>lexicographical ordering</t>
  </si>
  <si>
    <t>lo + mapping</t>
  </si>
  <si>
    <t>pauli strings</t>
  </si>
  <si>
    <t>time do</t>
  </si>
  <si>
    <t>time diff</t>
  </si>
  <si>
    <t>time lo</t>
  </si>
  <si>
    <t>sgm-dom-time</t>
  </si>
  <si>
    <t>sgm-dom time%</t>
  </si>
  <si>
    <t>line-6</t>
  </si>
  <si>
    <t>quito-5</t>
  </si>
  <si>
    <t>grid-9</t>
  </si>
  <si>
    <t>grid-16</t>
  </si>
  <si>
    <t>guadalupe-16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</si>
</sst>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1" applyFont="1"/>
    <xf numFmtId="9" fontId="18" fillId="0" borderId="0" xfId="1" applyFont="1"/>
    <xf numFmtId="0" fontId="0" fillId="0" borderId="10" xfId="0" applyBorder="1"/>
    <xf numFmtId="0" fontId="0" fillId="0" borderId="10" xfId="0" applyBorder="1" applyAlignment="1">
      <alignment horizontal="right"/>
    </xf>
    <xf numFmtId="9" fontId="19" fillId="0" borderId="0" xfId="1" applyFont="1"/>
    <xf numFmtId="0" fontId="18" fillId="0" borderId="0" xfId="0" applyFont="1"/>
    <xf numFmtId="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Line-6 (cnot count relative to lexicographical ordering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line6!$K$1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line6!$A$2:$A$46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line6!$K$2:$K$46</c:f>
              <c:numCache>
                <c:formatCode>General</c:formatCode>
                <c:ptCount val="4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6-8949-B5B1-E2CE330577D2}"/>
            </c:ext>
          </c:extLst>
        </c:ser>
        <c:ser>
          <c:idx val="1"/>
          <c:order val="1"/>
          <c:tx>
            <c:strRef>
              <c:f>line6!$L$1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line6!$A$2:$A$46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line6!$L$2:$L$46</c:f>
              <c:numCache>
                <c:formatCode>0%</c:formatCode>
                <c:ptCount val="45"/>
                <c:pt idx="0">
                  <c:v>0.73529411764705888</c:v>
                </c:pt>
                <c:pt idx="1">
                  <c:v>0.83333333333333326</c:v>
                </c:pt>
                <c:pt idx="2">
                  <c:v>0.87002652519893886</c:v>
                </c:pt>
                <c:pt idx="3">
                  <c:v>0.87551867219917012</c:v>
                </c:pt>
                <c:pt idx="4">
                  <c:v>0.9</c:v>
                </c:pt>
                <c:pt idx="5">
                  <c:v>0.92914653784219003</c:v>
                </c:pt>
                <c:pt idx="6">
                  <c:v>0.93053545586107089</c:v>
                </c:pt>
                <c:pt idx="7">
                  <c:v>0.94793057409879833</c:v>
                </c:pt>
                <c:pt idx="8">
                  <c:v>0.94697903822441432</c:v>
                </c:pt>
                <c:pt idx="9">
                  <c:v>0.95348837209302328</c:v>
                </c:pt>
                <c:pt idx="10">
                  <c:v>0.95874049945711182</c:v>
                </c:pt>
                <c:pt idx="11">
                  <c:v>0.96028513238289204</c:v>
                </c:pt>
                <c:pt idx="12">
                  <c:v>0.95098963242224333</c:v>
                </c:pt>
                <c:pt idx="13">
                  <c:v>0.96428571428571419</c:v>
                </c:pt>
                <c:pt idx="14">
                  <c:v>0.96006944444444442</c:v>
                </c:pt>
                <c:pt idx="15">
                  <c:v>0.96725440806045349</c:v>
                </c:pt>
                <c:pt idx="16">
                  <c:v>0.96092503987240829</c:v>
                </c:pt>
                <c:pt idx="17">
                  <c:v>0.97179878048780499</c:v>
                </c:pt>
                <c:pt idx="18">
                  <c:v>0.96840558412931677</c:v>
                </c:pt>
                <c:pt idx="19">
                  <c:v>0.96946022727272718</c:v>
                </c:pt>
                <c:pt idx="20">
                  <c:v>0.97896950578338593</c:v>
                </c:pt>
                <c:pt idx="21">
                  <c:v>0.97844463229078615</c:v>
                </c:pt>
                <c:pt idx="22">
                  <c:v>0.97984161267098624</c:v>
                </c:pt>
                <c:pt idx="23">
                  <c:v>0.97996242955541646</c:v>
                </c:pt>
                <c:pt idx="24">
                  <c:v>0.97869396790260099</c:v>
                </c:pt>
                <c:pt idx="25">
                  <c:v>0.98484848484848475</c:v>
                </c:pt>
                <c:pt idx="26">
                  <c:v>0.9935661764705882</c:v>
                </c:pt>
                <c:pt idx="27">
                  <c:v>0.98504003371260007</c:v>
                </c:pt>
                <c:pt idx="28">
                  <c:v>0.99160055996266916</c:v>
                </c:pt>
                <c:pt idx="29">
                  <c:v>0.99218158890290031</c:v>
                </c:pt>
                <c:pt idx="30">
                  <c:v>0.99024756189047258</c:v>
                </c:pt>
                <c:pt idx="31">
                  <c:v>0.99403183023872688</c:v>
                </c:pt>
                <c:pt idx="32">
                  <c:v>0.98882824492580601</c:v>
                </c:pt>
                <c:pt idx="33">
                  <c:v>0.99271958666040383</c:v>
                </c:pt>
                <c:pt idx="34">
                  <c:v>0.99354417525025396</c:v>
                </c:pt>
                <c:pt idx="35">
                  <c:v>0.9926888708367182</c:v>
                </c:pt>
                <c:pt idx="36">
                  <c:v>0.99630337794773749</c:v>
                </c:pt>
                <c:pt idx="37">
                  <c:v>0.99473906996432238</c:v>
                </c:pt>
                <c:pt idx="38">
                  <c:v>0.99152786582905894</c:v>
                </c:pt>
                <c:pt idx="39">
                  <c:v>0.99429204765863122</c:v>
                </c:pt>
                <c:pt idx="40">
                  <c:v>0.99367861885790165</c:v>
                </c:pt>
                <c:pt idx="41">
                  <c:v>0.9961516753040176</c:v>
                </c:pt>
                <c:pt idx="42">
                  <c:v>0.99505855611009542</c:v>
                </c:pt>
                <c:pt idx="43">
                  <c:v>0.99315887671626069</c:v>
                </c:pt>
                <c:pt idx="44">
                  <c:v>1.0009359790340697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6-8949-B5B1-E2CE330577D2}"/>
            </c:ext>
          </c:extLst>
        </c:ser>
        <c:ser>
          <c:idx val="2"/>
          <c:order val="2"/>
          <c:tx>
            <c:strRef>
              <c:f>line6!$M$1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line6!$A$2:$A$46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line6!$M$2:$M$46</c:f>
              <c:numCache>
                <c:formatCode>0%</c:formatCode>
                <c:ptCount val="45"/>
                <c:pt idx="0">
                  <c:v>0.98235294117647054</c:v>
                </c:pt>
                <c:pt idx="1">
                  <c:v>0.89855072463768115</c:v>
                </c:pt>
                <c:pt idx="2">
                  <c:v>0.84880636604774529</c:v>
                </c:pt>
                <c:pt idx="3">
                  <c:v>0.83609958506224058</c:v>
                </c:pt>
                <c:pt idx="4">
                  <c:v>0.81454545454545446</c:v>
                </c:pt>
                <c:pt idx="5">
                  <c:v>0.79710144927536231</c:v>
                </c:pt>
                <c:pt idx="6">
                  <c:v>0.7901591895803185</c:v>
                </c:pt>
                <c:pt idx="7">
                  <c:v>0.79038718291054733</c:v>
                </c:pt>
                <c:pt idx="8">
                  <c:v>0.76695437731196059</c:v>
                </c:pt>
                <c:pt idx="9">
                  <c:v>0.75697674418604644</c:v>
                </c:pt>
                <c:pt idx="10">
                  <c:v>0.749185667752443</c:v>
                </c:pt>
                <c:pt idx="11">
                  <c:v>0.73523421588594706</c:v>
                </c:pt>
                <c:pt idx="12">
                  <c:v>0.7247879359095194</c:v>
                </c:pt>
                <c:pt idx="13">
                  <c:v>0.72069597069597069</c:v>
                </c:pt>
                <c:pt idx="14">
                  <c:v>0.71527777777777779</c:v>
                </c:pt>
                <c:pt idx="15">
                  <c:v>0.7103274559193955</c:v>
                </c:pt>
                <c:pt idx="16">
                  <c:v>0.6905901116427432</c:v>
                </c:pt>
                <c:pt idx="17">
                  <c:v>0.69054878048780488</c:v>
                </c:pt>
                <c:pt idx="18">
                  <c:v>0.69066862601028656</c:v>
                </c:pt>
                <c:pt idx="19">
                  <c:v>0.68892045454545447</c:v>
                </c:pt>
                <c:pt idx="20">
                  <c:v>0.63932702418506837</c:v>
                </c:pt>
                <c:pt idx="21">
                  <c:v>0.61115807269653422</c:v>
                </c:pt>
                <c:pt idx="22">
                  <c:v>0.59251259899208064</c:v>
                </c:pt>
                <c:pt idx="23">
                  <c:v>0.57795867251095812</c:v>
                </c:pt>
                <c:pt idx="24">
                  <c:v>0.55506364139457665</c:v>
                </c:pt>
                <c:pt idx="25">
                  <c:v>0.54669647292598111</c:v>
                </c:pt>
                <c:pt idx="26">
                  <c:v>0.53998161764705888</c:v>
                </c:pt>
                <c:pt idx="27">
                  <c:v>0.52949852507374628</c:v>
                </c:pt>
                <c:pt idx="28">
                  <c:v>0.49541141701664337</c:v>
                </c:pt>
                <c:pt idx="29">
                  <c:v>0.47414880201765447</c:v>
                </c:pt>
                <c:pt idx="30">
                  <c:v>0.45697138570356871</c:v>
                </c:pt>
                <c:pt idx="31">
                  <c:v>0.44590754073512695</c:v>
                </c:pt>
                <c:pt idx="32">
                  <c:v>0.43322531127409181</c:v>
                </c:pt>
                <c:pt idx="33">
                  <c:v>0.42609989040237978</c:v>
                </c:pt>
                <c:pt idx="34">
                  <c:v>0.41962860873349778</c:v>
                </c:pt>
                <c:pt idx="35">
                  <c:v>0.41280801516382343</c:v>
                </c:pt>
                <c:pt idx="36">
                  <c:v>0.40592734225621413</c:v>
                </c:pt>
                <c:pt idx="37">
                  <c:v>0.40291467618068572</c:v>
                </c:pt>
                <c:pt idx="38">
                  <c:v>0.39767160394213591</c:v>
                </c:pt>
                <c:pt idx="39">
                  <c:v>0.39578830701025219</c:v>
                </c:pt>
                <c:pt idx="40">
                  <c:v>0.39256308100929616</c:v>
                </c:pt>
                <c:pt idx="41">
                  <c:v>0.3894504592334137</c:v>
                </c:pt>
                <c:pt idx="42">
                  <c:v>0.38651974106834019</c:v>
                </c:pt>
                <c:pt idx="43">
                  <c:v>0.38281586375161458</c:v>
                </c:pt>
                <c:pt idx="44">
                  <c:v>0.38295582178959187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66-8949-B5B1-E2CE330577D2}"/>
            </c:ext>
          </c:extLst>
        </c:ser>
        <c:ser>
          <c:idx val="3"/>
          <c:order val="3"/>
          <c:tx>
            <c:strRef>
              <c:f>line6!$N$1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line6!$A$2:$A$46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line6!$N$2:$N$46</c:f>
              <c:numCache>
                <c:formatCode>0%</c:formatCode>
                <c:ptCount val="45"/>
                <c:pt idx="0">
                  <c:v>0.65294117647058825</c:v>
                </c:pt>
                <c:pt idx="1">
                  <c:v>0.71014492753623193</c:v>
                </c:pt>
                <c:pt idx="2">
                  <c:v>0.71087533156498672</c:v>
                </c:pt>
                <c:pt idx="3">
                  <c:v>0.72199170124481316</c:v>
                </c:pt>
                <c:pt idx="4">
                  <c:v>0.73818181818181816</c:v>
                </c:pt>
                <c:pt idx="5">
                  <c:v>0.7375201288244766</c:v>
                </c:pt>
                <c:pt idx="6">
                  <c:v>0.73661360347322724</c:v>
                </c:pt>
                <c:pt idx="7">
                  <c:v>0.75433911882510007</c:v>
                </c:pt>
                <c:pt idx="8">
                  <c:v>0.73982737361282369</c:v>
                </c:pt>
                <c:pt idx="9">
                  <c:v>0.73139534883720925</c:v>
                </c:pt>
                <c:pt idx="10">
                  <c:v>0.7285559174809989</c:v>
                </c:pt>
                <c:pt idx="11">
                  <c:v>0.7179226069246436</c:v>
                </c:pt>
                <c:pt idx="12">
                  <c:v>0.70405278039585306</c:v>
                </c:pt>
                <c:pt idx="13">
                  <c:v>0.70604395604395598</c:v>
                </c:pt>
                <c:pt idx="14">
                  <c:v>0.69965277777777768</c:v>
                </c:pt>
                <c:pt idx="15">
                  <c:v>0.69689336691855586</c:v>
                </c:pt>
                <c:pt idx="16">
                  <c:v>0.68740031897926634</c:v>
                </c:pt>
                <c:pt idx="17">
                  <c:v>0.68521341463414642</c:v>
                </c:pt>
                <c:pt idx="18">
                  <c:v>0.67744305657604709</c:v>
                </c:pt>
                <c:pt idx="19">
                  <c:v>0.67329545454545447</c:v>
                </c:pt>
                <c:pt idx="20">
                  <c:v>0.63722397476340698</c:v>
                </c:pt>
                <c:pt idx="21">
                  <c:v>0.60777683854606934</c:v>
                </c:pt>
                <c:pt idx="22">
                  <c:v>0.59143268538516924</c:v>
                </c:pt>
                <c:pt idx="23">
                  <c:v>0.57451471509079532</c:v>
                </c:pt>
                <c:pt idx="24">
                  <c:v>0.5564471499723298</c:v>
                </c:pt>
                <c:pt idx="25">
                  <c:v>0.54495777446597116</c:v>
                </c:pt>
                <c:pt idx="26">
                  <c:v>0.5390625</c:v>
                </c:pt>
                <c:pt idx="27">
                  <c:v>0.5267593763168984</c:v>
                </c:pt>
                <c:pt idx="28">
                  <c:v>0.49681132368953179</c:v>
                </c:pt>
                <c:pt idx="29">
                  <c:v>0.47301387137452716</c:v>
                </c:pt>
                <c:pt idx="30">
                  <c:v>0.45557818025935054</c:v>
                </c:pt>
                <c:pt idx="31">
                  <c:v>0.44581280788177347</c:v>
                </c:pt>
                <c:pt idx="32">
                  <c:v>0.43518676445505716</c:v>
                </c:pt>
                <c:pt idx="33">
                  <c:v>0.42680444653201816</c:v>
                </c:pt>
                <c:pt idx="34">
                  <c:v>0.42006383287393012</c:v>
                </c:pt>
                <c:pt idx="35">
                  <c:v>0.41375575412943411</c:v>
                </c:pt>
                <c:pt idx="36">
                  <c:v>0.40771191841937543</c:v>
                </c:pt>
                <c:pt idx="37">
                  <c:v>0.40339843986212737</c:v>
                </c:pt>
                <c:pt idx="38">
                  <c:v>0.39819030603423433</c:v>
                </c:pt>
                <c:pt idx="39">
                  <c:v>0.39706289830978109</c:v>
                </c:pt>
                <c:pt idx="40">
                  <c:v>0.3929880478087649</c:v>
                </c:pt>
                <c:pt idx="41">
                  <c:v>0.38965570321719939</c:v>
                </c:pt>
                <c:pt idx="42">
                  <c:v>0.38553145229035923</c:v>
                </c:pt>
                <c:pt idx="43">
                  <c:v>0.38300722384346741</c:v>
                </c:pt>
                <c:pt idx="44">
                  <c:v>0.38328341445151626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66-8949-B5B1-E2CE33057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Line-6 (cnot depth relative to lexicographical ordering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'line6 depth'!$K$1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'line6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'line6 depth'!$K$2:$K$46</c:f>
              <c:numCache>
                <c:formatCode>General</c:formatCode>
                <c:ptCount val="4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8-1B4A-BC9D-B924C5C3B2AD}"/>
            </c:ext>
          </c:extLst>
        </c:ser>
        <c:ser>
          <c:idx val="1"/>
          <c:order val="1"/>
          <c:tx>
            <c:strRef>
              <c:f>'line6 depth'!$L$1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'line6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'line6 depth'!$L$2:$L$46</c:f>
              <c:numCache>
                <c:formatCode>0%</c:formatCode>
                <c:ptCount val="45"/>
                <c:pt idx="0">
                  <c:v>0.74242424242424254</c:v>
                </c:pt>
                <c:pt idx="1">
                  <c:v>0.86069651741293529</c:v>
                </c:pt>
                <c:pt idx="2">
                  <c:v>0.91287878787878796</c:v>
                </c:pt>
                <c:pt idx="3">
                  <c:v>0.90390390390390407</c:v>
                </c:pt>
                <c:pt idx="4">
                  <c:v>0.92063492063492058</c:v>
                </c:pt>
                <c:pt idx="5">
                  <c:v>0.94835680751173701</c:v>
                </c:pt>
                <c:pt idx="6">
                  <c:v>0.95735607675906187</c:v>
                </c:pt>
                <c:pt idx="7">
                  <c:v>0.96463654223968576</c:v>
                </c:pt>
                <c:pt idx="8">
                  <c:v>0.9745454545454546</c:v>
                </c:pt>
                <c:pt idx="9">
                  <c:v>0.97255574614065188</c:v>
                </c:pt>
                <c:pt idx="10">
                  <c:v>0.9695024077046549</c:v>
                </c:pt>
                <c:pt idx="11">
                  <c:v>0.97586726998491713</c:v>
                </c:pt>
                <c:pt idx="12">
                  <c:v>0.96801112656467303</c:v>
                </c:pt>
                <c:pt idx="13">
                  <c:v>0.98231292517006807</c:v>
                </c:pt>
                <c:pt idx="14">
                  <c:v>0.97183098591549311</c:v>
                </c:pt>
                <c:pt idx="15">
                  <c:v>0.97780517879161533</c:v>
                </c:pt>
                <c:pt idx="16">
                  <c:v>0.96838407494145196</c:v>
                </c:pt>
                <c:pt idx="17">
                  <c:v>0.98092031425364767</c:v>
                </c:pt>
                <c:pt idx="18">
                  <c:v>0.98264642082429488</c:v>
                </c:pt>
                <c:pt idx="19">
                  <c:v>0.97907949790794979</c:v>
                </c:pt>
                <c:pt idx="20">
                  <c:v>0.98619631901840488</c:v>
                </c:pt>
                <c:pt idx="21">
                  <c:v>0.98650306748466265</c:v>
                </c:pt>
                <c:pt idx="22">
                  <c:v>0.98347960764068154</c:v>
                </c:pt>
                <c:pt idx="23">
                  <c:v>0.98573975044563267</c:v>
                </c:pt>
                <c:pt idx="24">
                  <c:v>0.98663522012578619</c:v>
                </c:pt>
                <c:pt idx="25">
                  <c:v>0.98844537815126043</c:v>
                </c:pt>
                <c:pt idx="26">
                  <c:v>1</c:v>
                </c:pt>
                <c:pt idx="27">
                  <c:v>0.98910482921083609</c:v>
                </c:pt>
                <c:pt idx="28">
                  <c:v>0.9955051369863015</c:v>
                </c:pt>
                <c:pt idx="29">
                  <c:v>0.99230637715848868</c:v>
                </c:pt>
                <c:pt idx="30">
                  <c:v>0.99264705882352933</c:v>
                </c:pt>
                <c:pt idx="31">
                  <c:v>0.99709192059678853</c:v>
                </c:pt>
                <c:pt idx="32">
                  <c:v>0.98947725729803127</c:v>
                </c:pt>
                <c:pt idx="33">
                  <c:v>0.99246179264766632</c:v>
                </c:pt>
                <c:pt idx="34">
                  <c:v>0.9945729791488146</c:v>
                </c:pt>
                <c:pt idx="35">
                  <c:v>0.99503281887528816</c:v>
                </c:pt>
                <c:pt idx="36">
                  <c:v>0.99775505113494634</c:v>
                </c:pt>
                <c:pt idx="37">
                  <c:v>0.99434540171208663</c:v>
                </c:pt>
                <c:pt idx="38">
                  <c:v>0.99439084586044424</c:v>
                </c:pt>
                <c:pt idx="39">
                  <c:v>0.99455626387794582</c:v>
                </c:pt>
                <c:pt idx="40">
                  <c:v>0.99479130971146601</c:v>
                </c:pt>
                <c:pt idx="41">
                  <c:v>0.99683126485344598</c:v>
                </c:pt>
                <c:pt idx="42">
                  <c:v>0.99701435649853887</c:v>
                </c:pt>
                <c:pt idx="43">
                  <c:v>0.99447751119838002</c:v>
                </c:pt>
                <c:pt idx="44">
                  <c:v>1.0003591094086666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68-1B4A-BC9D-B924C5C3B2AD}"/>
            </c:ext>
          </c:extLst>
        </c:ser>
        <c:ser>
          <c:idx val="2"/>
          <c:order val="2"/>
          <c:tx>
            <c:strRef>
              <c:f>'line6 depth'!$M$1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'line6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'line6 depth'!$M$2:$M$46</c:f>
              <c:numCache>
                <c:formatCode>0%</c:formatCode>
                <c:ptCount val="45"/>
                <c:pt idx="0">
                  <c:v>0.99242424242424243</c:v>
                </c:pt>
                <c:pt idx="1">
                  <c:v>0.93532338308457708</c:v>
                </c:pt>
                <c:pt idx="2">
                  <c:v>0.89772727272727271</c:v>
                </c:pt>
                <c:pt idx="3">
                  <c:v>0.89489489489489504</c:v>
                </c:pt>
                <c:pt idx="4">
                  <c:v>0.85714285714285721</c:v>
                </c:pt>
                <c:pt idx="5">
                  <c:v>0.8380281690140845</c:v>
                </c:pt>
                <c:pt idx="6">
                  <c:v>0.84008528784648184</c:v>
                </c:pt>
                <c:pt idx="7">
                  <c:v>0.83300589390962676</c:v>
                </c:pt>
                <c:pt idx="8">
                  <c:v>0.80727272727272725</c:v>
                </c:pt>
                <c:pt idx="9">
                  <c:v>0.79588336192109777</c:v>
                </c:pt>
                <c:pt idx="10">
                  <c:v>0.7881219903691814</c:v>
                </c:pt>
                <c:pt idx="11">
                  <c:v>0.76923076923076927</c:v>
                </c:pt>
                <c:pt idx="12">
                  <c:v>0.75660639777468697</c:v>
                </c:pt>
                <c:pt idx="13">
                  <c:v>0.75510204081632648</c:v>
                </c:pt>
                <c:pt idx="14">
                  <c:v>0.74007682458386681</c:v>
                </c:pt>
                <c:pt idx="15">
                  <c:v>0.72996300863131947</c:v>
                </c:pt>
                <c:pt idx="16">
                  <c:v>0.71311475409836056</c:v>
                </c:pt>
                <c:pt idx="17">
                  <c:v>0.70931537598204275</c:v>
                </c:pt>
                <c:pt idx="18">
                  <c:v>0.71800433839479394</c:v>
                </c:pt>
                <c:pt idx="19">
                  <c:v>0.70711297071129708</c:v>
                </c:pt>
                <c:pt idx="20">
                  <c:v>0.64877300613496924</c:v>
                </c:pt>
                <c:pt idx="21">
                  <c:v>0.61779141104294477</c:v>
                </c:pt>
                <c:pt idx="22">
                  <c:v>0.58595766649457925</c:v>
                </c:pt>
                <c:pt idx="23">
                  <c:v>0.56951871657754005</c:v>
                </c:pt>
                <c:pt idx="24">
                  <c:v>0.54795597484276726</c:v>
                </c:pt>
                <c:pt idx="25">
                  <c:v>0.5357142857142857</c:v>
                </c:pt>
                <c:pt idx="26">
                  <c:v>0.53087617200129322</c:v>
                </c:pt>
                <c:pt idx="27">
                  <c:v>0.51707891637220249</c:v>
                </c:pt>
                <c:pt idx="28">
                  <c:v>0.47816780821917809</c:v>
                </c:pt>
                <c:pt idx="29">
                  <c:v>0.4534108394597367</c:v>
                </c:pt>
                <c:pt idx="30">
                  <c:v>0.4358419838523645</c:v>
                </c:pt>
                <c:pt idx="31">
                  <c:v>0.42179795170059431</c:v>
                </c:pt>
                <c:pt idx="32">
                  <c:v>0.4089160443539262</c:v>
                </c:pt>
                <c:pt idx="33">
                  <c:v>0.3993184634448575</c:v>
                </c:pt>
                <c:pt idx="34">
                  <c:v>0.3916023993144816</c:v>
                </c:pt>
                <c:pt idx="35">
                  <c:v>0.38664183076104308</c:v>
                </c:pt>
                <c:pt idx="36">
                  <c:v>0.37814916438014468</c:v>
                </c:pt>
                <c:pt idx="37">
                  <c:v>0.37532396136024504</c:v>
                </c:pt>
                <c:pt idx="38">
                  <c:v>0.37065290554184432</c:v>
                </c:pt>
                <c:pt idx="39">
                  <c:v>0.36673590716997351</c:v>
                </c:pt>
                <c:pt idx="40">
                  <c:v>0.36344321842231514</c:v>
                </c:pt>
                <c:pt idx="41">
                  <c:v>0.35998151571164511</c:v>
                </c:pt>
                <c:pt idx="42">
                  <c:v>0.35827722017532715</c:v>
                </c:pt>
                <c:pt idx="43">
                  <c:v>0.35368472725041417</c:v>
                </c:pt>
                <c:pt idx="44">
                  <c:v>0.3528848455829543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68-1B4A-BC9D-B924C5C3B2AD}"/>
            </c:ext>
          </c:extLst>
        </c:ser>
        <c:ser>
          <c:idx val="3"/>
          <c:order val="3"/>
          <c:tx>
            <c:strRef>
              <c:f>'line6 depth'!$N$1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'line6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'line6 depth'!$N$2:$N$46</c:f>
              <c:numCache>
                <c:formatCode>0%</c:formatCode>
                <c:ptCount val="45"/>
                <c:pt idx="0">
                  <c:v>0.68181818181818188</c:v>
                </c:pt>
                <c:pt idx="1">
                  <c:v>0.76119402985074625</c:v>
                </c:pt>
                <c:pt idx="2">
                  <c:v>0.76136363636363646</c:v>
                </c:pt>
                <c:pt idx="3">
                  <c:v>0.77477477477477485</c:v>
                </c:pt>
                <c:pt idx="4">
                  <c:v>0.79365079365079372</c:v>
                </c:pt>
                <c:pt idx="5">
                  <c:v>0.78873239436619724</c:v>
                </c:pt>
                <c:pt idx="6">
                  <c:v>0.78678038379530912</c:v>
                </c:pt>
                <c:pt idx="7">
                  <c:v>0.79567779960707274</c:v>
                </c:pt>
                <c:pt idx="8">
                  <c:v>0.78363636363636369</c:v>
                </c:pt>
                <c:pt idx="9">
                  <c:v>0.76672384219554035</c:v>
                </c:pt>
                <c:pt idx="10">
                  <c:v>0.76565008025682191</c:v>
                </c:pt>
                <c:pt idx="11">
                  <c:v>0.75716440422322784</c:v>
                </c:pt>
                <c:pt idx="12">
                  <c:v>0.72878998609179413</c:v>
                </c:pt>
                <c:pt idx="13">
                  <c:v>0.73741496598639455</c:v>
                </c:pt>
                <c:pt idx="14">
                  <c:v>0.72471190781049943</c:v>
                </c:pt>
                <c:pt idx="15">
                  <c:v>0.72133168927250313</c:v>
                </c:pt>
                <c:pt idx="16">
                  <c:v>0.71662763466042156</c:v>
                </c:pt>
                <c:pt idx="17">
                  <c:v>0.70707070707070707</c:v>
                </c:pt>
                <c:pt idx="18">
                  <c:v>0.69848156182212584</c:v>
                </c:pt>
                <c:pt idx="19">
                  <c:v>0.69351464435146448</c:v>
                </c:pt>
                <c:pt idx="20">
                  <c:v>0.64570552147239269</c:v>
                </c:pt>
                <c:pt idx="21">
                  <c:v>0.6128834355828221</c:v>
                </c:pt>
                <c:pt idx="22">
                  <c:v>0.58853897780072284</c:v>
                </c:pt>
                <c:pt idx="23">
                  <c:v>0.56818181818181812</c:v>
                </c:pt>
                <c:pt idx="24">
                  <c:v>0.54756289308176109</c:v>
                </c:pt>
                <c:pt idx="25">
                  <c:v>0.53501400560224088</c:v>
                </c:pt>
                <c:pt idx="26">
                  <c:v>0.52893630779178791</c:v>
                </c:pt>
                <c:pt idx="27">
                  <c:v>0.51354534746760894</c:v>
                </c:pt>
                <c:pt idx="28">
                  <c:v>0.4785958904109589</c:v>
                </c:pt>
                <c:pt idx="29">
                  <c:v>0.45187211489143447</c:v>
                </c:pt>
                <c:pt idx="30">
                  <c:v>0.43281430219146477</c:v>
                </c:pt>
                <c:pt idx="31">
                  <c:v>0.42103932229106084</c:v>
                </c:pt>
                <c:pt idx="32">
                  <c:v>0.41050011314777102</c:v>
                </c:pt>
                <c:pt idx="33">
                  <c:v>0.40138372573316811</c:v>
                </c:pt>
                <c:pt idx="34">
                  <c:v>0.39293535180424644</c:v>
                </c:pt>
                <c:pt idx="35">
                  <c:v>0.38673053042398436</c:v>
                </c:pt>
                <c:pt idx="36">
                  <c:v>0.38047725949945954</c:v>
                </c:pt>
                <c:pt idx="37">
                  <c:v>0.3761093222335663</c:v>
                </c:pt>
                <c:pt idx="38">
                  <c:v>0.37050332809812281</c:v>
                </c:pt>
                <c:pt idx="39">
                  <c:v>0.36859823794857105</c:v>
                </c:pt>
                <c:pt idx="40">
                  <c:v>0.36460832019738199</c:v>
                </c:pt>
                <c:pt idx="41">
                  <c:v>0.36031159228941112</c:v>
                </c:pt>
                <c:pt idx="42">
                  <c:v>0.35713378223859737</c:v>
                </c:pt>
                <c:pt idx="43">
                  <c:v>0.3530711173835675</c:v>
                </c:pt>
                <c:pt idx="44">
                  <c:v>0.35282499401484319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68-1B4A-BC9D-B924C5C3B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Quito-5 (cnot count relative to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 </a:t>
            </a:r>
            <a:r>
              <a:rPr lang="en-US" sz="2400" baseline="0"/>
              <a:t>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quito5!$K$1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quito5!$A$2:$A$46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quito5!$K$2:$K$46</c:f>
              <c:numCache>
                <c:formatCode>General</c:formatCode>
                <c:ptCount val="4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0-5845-AED1-3910EDD12E35}"/>
            </c:ext>
          </c:extLst>
        </c:ser>
        <c:ser>
          <c:idx val="1"/>
          <c:order val="1"/>
          <c:tx>
            <c:strRef>
              <c:f>quito5!$L$1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quito5!$A$2:$A$46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quito5!$L$2:$L$46</c:f>
              <c:numCache>
                <c:formatCode>0%</c:formatCode>
                <c:ptCount val="45"/>
                <c:pt idx="0">
                  <c:v>0.71</c:v>
                </c:pt>
                <c:pt idx="1">
                  <c:v>0.87058823529411766</c:v>
                </c:pt>
                <c:pt idx="2">
                  <c:v>0.8847736625514403</c:v>
                </c:pt>
                <c:pt idx="3">
                  <c:v>0.89898989898989901</c:v>
                </c:pt>
                <c:pt idx="4">
                  <c:v>0.93948126801152732</c:v>
                </c:pt>
                <c:pt idx="5">
                  <c:v>0.95549738219895286</c:v>
                </c:pt>
                <c:pt idx="6">
                  <c:v>0.95971563981042651</c:v>
                </c:pt>
                <c:pt idx="7">
                  <c:v>0.95074946466809418</c:v>
                </c:pt>
                <c:pt idx="8">
                  <c:v>0.94578313253012058</c:v>
                </c:pt>
                <c:pt idx="9">
                  <c:v>0.97333333333333338</c:v>
                </c:pt>
                <c:pt idx="10">
                  <c:v>0.96147110332749552</c:v>
                </c:pt>
                <c:pt idx="11">
                  <c:v>0.96801346801346799</c:v>
                </c:pt>
                <c:pt idx="12">
                  <c:v>0.94662480376766078</c:v>
                </c:pt>
                <c:pt idx="13">
                  <c:v>0.95952023988005997</c:v>
                </c:pt>
                <c:pt idx="14">
                  <c:v>0.95454545454545447</c:v>
                </c:pt>
                <c:pt idx="15">
                  <c:v>0.96027397260273961</c:v>
                </c:pt>
                <c:pt idx="16">
                  <c:v>0.9765625</c:v>
                </c:pt>
                <c:pt idx="17">
                  <c:v>0.97055057618437901</c:v>
                </c:pt>
                <c:pt idx="18">
                  <c:v>0.97791411042944787</c:v>
                </c:pt>
                <c:pt idx="19">
                  <c:v>0.98323353293413163</c:v>
                </c:pt>
                <c:pt idx="20">
                  <c:v>0.97864768683274017</c:v>
                </c:pt>
                <c:pt idx="21">
                  <c:v>0.97687861271676291</c:v>
                </c:pt>
                <c:pt idx="22">
                  <c:v>0.98429648241206025</c:v>
                </c:pt>
                <c:pt idx="23">
                  <c:v>0.97264770240700216</c:v>
                </c:pt>
                <c:pt idx="24">
                  <c:v>0.98000975134080937</c:v>
                </c:pt>
                <c:pt idx="25">
                  <c:v>0.97521406038756198</c:v>
                </c:pt>
                <c:pt idx="26">
                  <c:v>0.97803564028180678</c:v>
                </c:pt>
                <c:pt idx="27">
                  <c:v>0.97952086553323026</c:v>
                </c:pt>
                <c:pt idx="28">
                  <c:v>0.98623578695391989</c:v>
                </c:pt>
                <c:pt idx="29">
                  <c:v>0.98355263157894735</c:v>
                </c:pt>
                <c:pt idx="30">
                  <c:v>0.98343407208417288</c:v>
                </c:pt>
                <c:pt idx="31">
                  <c:v>0.98659354052407067</c:v>
                </c:pt>
                <c:pt idx="32">
                  <c:v>0.98939996214272208</c:v>
                </c:pt>
                <c:pt idx="33">
                  <c:v>0.99043062200956944</c:v>
                </c:pt>
                <c:pt idx="34">
                  <c:v>0.98084355570492354</c:v>
                </c:pt>
                <c:pt idx="35">
                  <c:v>0.98737010391686653</c:v>
                </c:pt>
                <c:pt idx="36">
                  <c:v>0.98670377241805829</c:v>
                </c:pt>
                <c:pt idx="37">
                  <c:v>0.9857439857439857</c:v>
                </c:pt>
                <c:pt idx="38">
                  <c:v>0.9851905104241554</c:v>
                </c:pt>
                <c:pt idx="39">
                  <c:v>0.98111359820928934</c:v>
                </c:pt>
                <c:pt idx="40">
                  <c:v>0.98770491803278693</c:v>
                </c:pt>
                <c:pt idx="41">
                  <c:v>0.99329938354328595</c:v>
                </c:pt>
                <c:pt idx="42">
                  <c:v>0.9938433324600473</c:v>
                </c:pt>
                <c:pt idx="43">
                  <c:v>0.98653328203155055</c:v>
                </c:pt>
                <c:pt idx="44">
                  <c:v>0.99267028939719459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0-5845-AED1-3910EDD12E35}"/>
            </c:ext>
          </c:extLst>
        </c:ser>
        <c:ser>
          <c:idx val="2"/>
          <c:order val="2"/>
          <c:tx>
            <c:strRef>
              <c:f>quito5!$M$1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quito5!$A$2:$A$46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quito5!$M$2:$M$46</c:f>
              <c:numCache>
                <c:formatCode>0%</c:formatCode>
                <c:ptCount val="45"/>
                <c:pt idx="0">
                  <c:v>0.99</c:v>
                </c:pt>
                <c:pt idx="1">
                  <c:v>0.8647058823529411</c:v>
                </c:pt>
                <c:pt idx="2">
                  <c:v>0.82304526748971196</c:v>
                </c:pt>
                <c:pt idx="3">
                  <c:v>0.80808080808080807</c:v>
                </c:pt>
                <c:pt idx="4">
                  <c:v>0.79538904899135443</c:v>
                </c:pt>
                <c:pt idx="5">
                  <c:v>0.79319371727748689</c:v>
                </c:pt>
                <c:pt idx="6">
                  <c:v>0.77251184834123221</c:v>
                </c:pt>
                <c:pt idx="7">
                  <c:v>0.75374732334047112</c:v>
                </c:pt>
                <c:pt idx="8">
                  <c:v>0.74698795180722899</c:v>
                </c:pt>
                <c:pt idx="9">
                  <c:v>0.75428571428571434</c:v>
                </c:pt>
                <c:pt idx="10">
                  <c:v>0.72854640980735552</c:v>
                </c:pt>
                <c:pt idx="11">
                  <c:v>0.72390572390572394</c:v>
                </c:pt>
                <c:pt idx="12">
                  <c:v>0.71114599686028246</c:v>
                </c:pt>
                <c:pt idx="13">
                  <c:v>0.71514242878560719</c:v>
                </c:pt>
                <c:pt idx="14">
                  <c:v>0.69176136363636365</c:v>
                </c:pt>
                <c:pt idx="15">
                  <c:v>0.68767123287671239</c:v>
                </c:pt>
                <c:pt idx="16">
                  <c:v>0.68880208333333337</c:v>
                </c:pt>
                <c:pt idx="17">
                  <c:v>0.68629961587708077</c:v>
                </c:pt>
                <c:pt idx="18">
                  <c:v>0.67239263803680982</c:v>
                </c:pt>
                <c:pt idx="19">
                  <c:v>0.67784431137724555</c:v>
                </c:pt>
                <c:pt idx="20">
                  <c:v>0.63345195729537362</c:v>
                </c:pt>
                <c:pt idx="21">
                  <c:v>0.60549132947976869</c:v>
                </c:pt>
                <c:pt idx="22">
                  <c:v>0.58668341708542726</c:v>
                </c:pt>
                <c:pt idx="23">
                  <c:v>0.56783369803063455</c:v>
                </c:pt>
                <c:pt idx="24">
                  <c:v>0.55387615797172107</c:v>
                </c:pt>
                <c:pt idx="25">
                  <c:v>0.54529067147363675</c:v>
                </c:pt>
                <c:pt idx="26">
                  <c:v>0.5391628677994198</c:v>
                </c:pt>
                <c:pt idx="27">
                  <c:v>0.52897990726429678</c:v>
                </c:pt>
                <c:pt idx="28">
                  <c:v>0.50209455415918613</c:v>
                </c:pt>
                <c:pt idx="29">
                  <c:v>0.48228744939271256</c:v>
                </c:pt>
                <c:pt idx="30">
                  <c:v>0.47145735392881127</c:v>
                </c:pt>
                <c:pt idx="31">
                  <c:v>0.46110095470241719</c:v>
                </c:pt>
                <c:pt idx="32">
                  <c:v>0.45390876395987134</c:v>
                </c:pt>
                <c:pt idx="33">
                  <c:v>0.44905192273613331</c:v>
                </c:pt>
                <c:pt idx="34">
                  <c:v>0.44362292051756008</c:v>
                </c:pt>
                <c:pt idx="35">
                  <c:v>0.43836930455635492</c:v>
                </c:pt>
                <c:pt idx="36">
                  <c:v>0.43444650587507733</c:v>
                </c:pt>
                <c:pt idx="37">
                  <c:v>0.43005643005643013</c:v>
                </c:pt>
                <c:pt idx="38">
                  <c:v>0.4260244428468728</c:v>
                </c:pt>
                <c:pt idx="39">
                  <c:v>0.42431449356463352</c:v>
                </c:pt>
                <c:pt idx="40">
                  <c:v>0.42281420765027322</c:v>
                </c:pt>
                <c:pt idx="41">
                  <c:v>0.42227284910211738</c:v>
                </c:pt>
                <c:pt idx="42">
                  <c:v>0.41852239979041134</c:v>
                </c:pt>
                <c:pt idx="43">
                  <c:v>0.41554444016929587</c:v>
                </c:pt>
                <c:pt idx="44">
                  <c:v>0.41589788954884371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60-5845-AED1-3910EDD12E35}"/>
            </c:ext>
          </c:extLst>
        </c:ser>
        <c:ser>
          <c:idx val="3"/>
          <c:order val="3"/>
          <c:tx>
            <c:strRef>
              <c:f>quito5!$N$1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quito5!$A$2:$A$46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quito5!$N$2:$N$46</c:f>
              <c:numCache>
                <c:formatCode>0%</c:formatCode>
                <c:ptCount val="45"/>
                <c:pt idx="0">
                  <c:v>0.65</c:v>
                </c:pt>
                <c:pt idx="1">
                  <c:v>0.74117647058823533</c:v>
                </c:pt>
                <c:pt idx="2">
                  <c:v>0.72427983539094654</c:v>
                </c:pt>
                <c:pt idx="3">
                  <c:v>0.73737373737373735</c:v>
                </c:pt>
                <c:pt idx="4">
                  <c:v>0.74063400576368865</c:v>
                </c:pt>
                <c:pt idx="5">
                  <c:v>0.76439790575916222</c:v>
                </c:pt>
                <c:pt idx="6">
                  <c:v>0.74407582938388617</c:v>
                </c:pt>
                <c:pt idx="7">
                  <c:v>0.72591006423982862</c:v>
                </c:pt>
                <c:pt idx="8">
                  <c:v>0.72289156626506024</c:v>
                </c:pt>
                <c:pt idx="9">
                  <c:v>0.72190476190476183</c:v>
                </c:pt>
                <c:pt idx="10">
                  <c:v>0.70928196147110334</c:v>
                </c:pt>
                <c:pt idx="11">
                  <c:v>0.69865319865319864</c:v>
                </c:pt>
                <c:pt idx="12">
                  <c:v>0.68602825745682894</c:v>
                </c:pt>
                <c:pt idx="13">
                  <c:v>0.69865067466266861</c:v>
                </c:pt>
                <c:pt idx="14">
                  <c:v>0.69034090909090906</c:v>
                </c:pt>
                <c:pt idx="15">
                  <c:v>0.67808219178082196</c:v>
                </c:pt>
                <c:pt idx="16">
                  <c:v>0.67317708333333337</c:v>
                </c:pt>
                <c:pt idx="17">
                  <c:v>0.68245838668373882</c:v>
                </c:pt>
                <c:pt idx="18">
                  <c:v>0.66871165644171782</c:v>
                </c:pt>
                <c:pt idx="19">
                  <c:v>0.67425149700598797</c:v>
                </c:pt>
                <c:pt idx="20">
                  <c:v>0.6245551601423488</c:v>
                </c:pt>
                <c:pt idx="21">
                  <c:v>0.5997109826589595</c:v>
                </c:pt>
                <c:pt idx="22">
                  <c:v>0.585427135678392</c:v>
                </c:pt>
                <c:pt idx="23">
                  <c:v>0.56892778993435444</c:v>
                </c:pt>
                <c:pt idx="24">
                  <c:v>0.55290102389078499</c:v>
                </c:pt>
                <c:pt idx="25">
                  <c:v>0.54619197836863453</c:v>
                </c:pt>
                <c:pt idx="26">
                  <c:v>0.53418980522171566</c:v>
                </c:pt>
                <c:pt idx="27">
                  <c:v>0.5255023183925811</c:v>
                </c:pt>
                <c:pt idx="28">
                  <c:v>0.50179533213644523</c:v>
                </c:pt>
                <c:pt idx="29">
                  <c:v>0.48304655870445345</c:v>
                </c:pt>
                <c:pt idx="30">
                  <c:v>0.46966644280277597</c:v>
                </c:pt>
                <c:pt idx="31">
                  <c:v>0.46211659557180579</c:v>
                </c:pt>
                <c:pt idx="32">
                  <c:v>0.45220518644709451</c:v>
                </c:pt>
                <c:pt idx="33">
                  <c:v>0.44692539429381534</c:v>
                </c:pt>
                <c:pt idx="34">
                  <c:v>0.44093429675684753</c:v>
                </c:pt>
                <c:pt idx="35">
                  <c:v>0.43836930455635492</c:v>
                </c:pt>
                <c:pt idx="36">
                  <c:v>0.43537414965986398</c:v>
                </c:pt>
                <c:pt idx="37">
                  <c:v>0.43035343035343038</c:v>
                </c:pt>
                <c:pt idx="38">
                  <c:v>0.4260244428468728</c:v>
                </c:pt>
                <c:pt idx="39">
                  <c:v>0.42375489647453835</c:v>
                </c:pt>
                <c:pt idx="40">
                  <c:v>0.42199453551912564</c:v>
                </c:pt>
                <c:pt idx="41">
                  <c:v>0.42039667649423745</c:v>
                </c:pt>
                <c:pt idx="42">
                  <c:v>0.41852239979041134</c:v>
                </c:pt>
                <c:pt idx="43">
                  <c:v>0.41554444016929587</c:v>
                </c:pt>
                <c:pt idx="44">
                  <c:v>0.41273853153039308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60-5845-AED1-3910EDD12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Quito-5 (cnot depth relative to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 </a:t>
            </a:r>
            <a:r>
              <a:rPr lang="en-US" sz="2400" baseline="0"/>
              <a:t>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'quito5 depth'!$K$1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'quito5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'quito5 depth'!$K$2:$K$46</c:f>
              <c:numCache>
                <c:formatCode>General</c:formatCode>
                <c:ptCount val="4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F-2C4B-988E-42001FE1CAA8}"/>
            </c:ext>
          </c:extLst>
        </c:ser>
        <c:ser>
          <c:idx val="1"/>
          <c:order val="1"/>
          <c:tx>
            <c:strRef>
              <c:f>'quito5 depth'!$L$1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'quito5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'quito5 depth'!$L$2:$L$46</c:f>
              <c:numCache>
                <c:formatCode>0%</c:formatCode>
                <c:ptCount val="45"/>
                <c:pt idx="0">
                  <c:v>0.7752808988764045</c:v>
                </c:pt>
                <c:pt idx="1">
                  <c:v>0.9072847682119205</c:v>
                </c:pt>
                <c:pt idx="2">
                  <c:v>0.91079812206572763</c:v>
                </c:pt>
                <c:pt idx="3">
                  <c:v>0.92692307692307696</c:v>
                </c:pt>
                <c:pt idx="4">
                  <c:v>0.95695364238410596</c:v>
                </c:pt>
                <c:pt idx="5">
                  <c:v>0.97297297297297303</c:v>
                </c:pt>
                <c:pt idx="6">
                  <c:v>0.98082191780821915</c:v>
                </c:pt>
                <c:pt idx="7">
                  <c:v>0.98024691358024696</c:v>
                </c:pt>
                <c:pt idx="8">
                  <c:v>0.967741935483871</c:v>
                </c:pt>
                <c:pt idx="9">
                  <c:v>1.0022026431718063</c:v>
                </c:pt>
                <c:pt idx="10">
                  <c:v>0.98181818181818181</c:v>
                </c:pt>
                <c:pt idx="11">
                  <c:v>0.98455598455598459</c:v>
                </c:pt>
                <c:pt idx="12">
                  <c:v>0.96920289855072461</c:v>
                </c:pt>
                <c:pt idx="13">
                  <c:v>0.9758620689655173</c:v>
                </c:pt>
                <c:pt idx="14">
                  <c:v>0.97545008183306059</c:v>
                </c:pt>
                <c:pt idx="15">
                  <c:v>0.97952755905511812</c:v>
                </c:pt>
                <c:pt idx="16">
                  <c:v>1.0014947683109117</c:v>
                </c:pt>
                <c:pt idx="17">
                  <c:v>0.98972099853157136</c:v>
                </c:pt>
                <c:pt idx="18">
                  <c:v>0.99858757062146897</c:v>
                </c:pt>
                <c:pt idx="19">
                  <c:v>1</c:v>
                </c:pt>
                <c:pt idx="20">
                  <c:v>1</c:v>
                </c:pt>
                <c:pt idx="21">
                  <c:v>0.99426229508196717</c:v>
                </c:pt>
                <c:pt idx="22">
                  <c:v>1.0014224751066858</c:v>
                </c:pt>
                <c:pt idx="23">
                  <c:v>0.98887515451174279</c:v>
                </c:pt>
                <c:pt idx="24">
                  <c:v>0.99779492833517092</c:v>
                </c:pt>
                <c:pt idx="25">
                  <c:v>0.99593495934959342</c:v>
                </c:pt>
                <c:pt idx="26">
                  <c:v>0.99441080577550078</c:v>
                </c:pt>
                <c:pt idx="27">
                  <c:v>0.99265023778642447</c:v>
                </c:pt>
                <c:pt idx="28">
                  <c:v>0.99933422103861524</c:v>
                </c:pt>
                <c:pt idx="29">
                  <c:v>0.99943788645306353</c:v>
                </c:pt>
                <c:pt idx="30">
                  <c:v>0.99555006180469718</c:v>
                </c:pt>
                <c:pt idx="31">
                  <c:v>0.99932915921288012</c:v>
                </c:pt>
                <c:pt idx="32">
                  <c:v>1.0047916666666667</c:v>
                </c:pt>
                <c:pt idx="33">
                  <c:v>1.0062281043207475</c:v>
                </c:pt>
                <c:pt idx="34">
                  <c:v>0.99503036996134742</c:v>
                </c:pt>
                <c:pt idx="35">
                  <c:v>1.0012237762237763</c:v>
                </c:pt>
                <c:pt idx="36">
                  <c:v>1.0016929067208398</c:v>
                </c:pt>
                <c:pt idx="37">
                  <c:v>1.0029287341360233</c:v>
                </c:pt>
                <c:pt idx="38">
                  <c:v>1.0014166535495044</c:v>
                </c:pt>
                <c:pt idx="39">
                  <c:v>0.99511077158135974</c:v>
                </c:pt>
                <c:pt idx="40">
                  <c:v>1.0019356759976175</c:v>
                </c:pt>
                <c:pt idx="41">
                  <c:v>1.0053983075576307</c:v>
                </c:pt>
                <c:pt idx="42">
                  <c:v>1.0062911066628539</c:v>
                </c:pt>
                <c:pt idx="43">
                  <c:v>1.0005587372538063</c:v>
                </c:pt>
                <c:pt idx="44">
                  <c:v>1.0062026188835287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F-2C4B-988E-42001FE1CAA8}"/>
            </c:ext>
          </c:extLst>
        </c:ser>
        <c:ser>
          <c:idx val="2"/>
          <c:order val="2"/>
          <c:tx>
            <c:strRef>
              <c:f>'quito5 depth'!$M$1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'quito5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'quito5 depth'!$M$2:$M$46</c:f>
              <c:numCache>
                <c:formatCode>0%</c:formatCode>
                <c:ptCount val="45"/>
                <c:pt idx="0">
                  <c:v>1</c:v>
                </c:pt>
                <c:pt idx="1">
                  <c:v>0.8741721854304636</c:v>
                </c:pt>
                <c:pt idx="2">
                  <c:v>0.83568075117370888</c:v>
                </c:pt>
                <c:pt idx="3">
                  <c:v>0.81923076923076921</c:v>
                </c:pt>
                <c:pt idx="4">
                  <c:v>0.80794701986754969</c:v>
                </c:pt>
                <c:pt idx="5">
                  <c:v>0.80480480480480487</c:v>
                </c:pt>
                <c:pt idx="6">
                  <c:v>0.78904109589041094</c:v>
                </c:pt>
                <c:pt idx="7">
                  <c:v>0.76296296296296295</c:v>
                </c:pt>
                <c:pt idx="8">
                  <c:v>0.75345622119815681</c:v>
                </c:pt>
                <c:pt idx="9">
                  <c:v>0.76651982378854622</c:v>
                </c:pt>
                <c:pt idx="10">
                  <c:v>0.73737373737373735</c:v>
                </c:pt>
                <c:pt idx="11">
                  <c:v>0.72586872586872597</c:v>
                </c:pt>
                <c:pt idx="12">
                  <c:v>0.71920289855072461</c:v>
                </c:pt>
                <c:pt idx="13">
                  <c:v>0.71551724137931039</c:v>
                </c:pt>
                <c:pt idx="14">
                  <c:v>0.69721767594108019</c:v>
                </c:pt>
                <c:pt idx="15">
                  <c:v>0.68976377952755896</c:v>
                </c:pt>
                <c:pt idx="16">
                  <c:v>0.68908819133034371</c:v>
                </c:pt>
                <c:pt idx="17">
                  <c:v>0.68428781204111611</c:v>
                </c:pt>
                <c:pt idx="18">
                  <c:v>0.67231638418079098</c:v>
                </c:pt>
                <c:pt idx="19">
                  <c:v>0.67901234567901225</c:v>
                </c:pt>
                <c:pt idx="20">
                  <c:v>0.62906504065040647</c:v>
                </c:pt>
                <c:pt idx="21">
                  <c:v>0.59754098360655739</c:v>
                </c:pt>
                <c:pt idx="22">
                  <c:v>0.57823613086770986</c:v>
                </c:pt>
                <c:pt idx="23">
                  <c:v>0.55686032138442509</c:v>
                </c:pt>
                <c:pt idx="24">
                  <c:v>0.54465270121278941</c:v>
                </c:pt>
                <c:pt idx="25">
                  <c:v>0.53302845528455289</c:v>
                </c:pt>
                <c:pt idx="26">
                  <c:v>0.52538425710293435</c:v>
                </c:pt>
                <c:pt idx="27">
                  <c:v>0.51448335495028097</c:v>
                </c:pt>
                <c:pt idx="28">
                  <c:v>0.48535286284953405</c:v>
                </c:pt>
                <c:pt idx="29">
                  <c:v>0.46514896008993817</c:v>
                </c:pt>
                <c:pt idx="30">
                  <c:v>0.4541409147095179</c:v>
                </c:pt>
                <c:pt idx="31">
                  <c:v>0.44163685152057247</c:v>
                </c:pt>
                <c:pt idx="32">
                  <c:v>0.43562499999999998</c:v>
                </c:pt>
                <c:pt idx="33">
                  <c:v>0.42993382639159211</c:v>
                </c:pt>
                <c:pt idx="34">
                  <c:v>0.42407509663169524</c:v>
                </c:pt>
                <c:pt idx="35">
                  <c:v>0.41748251748251752</c:v>
                </c:pt>
                <c:pt idx="36">
                  <c:v>0.41442356526155405</c:v>
                </c:pt>
                <c:pt idx="37">
                  <c:v>0.41099902375528796</c:v>
                </c:pt>
                <c:pt idx="38">
                  <c:v>0.40626475680780738</c:v>
                </c:pt>
                <c:pt idx="39">
                  <c:v>0.40381970970206266</c:v>
                </c:pt>
                <c:pt idx="40">
                  <c:v>0.40142942227516382</c:v>
                </c:pt>
                <c:pt idx="41">
                  <c:v>0.40049606069448501</c:v>
                </c:pt>
                <c:pt idx="42">
                  <c:v>0.39776951672862454</c:v>
                </c:pt>
                <c:pt idx="43">
                  <c:v>0.39404944824696192</c:v>
                </c:pt>
                <c:pt idx="44">
                  <c:v>0.39448656099241902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1F-2C4B-988E-42001FE1CAA8}"/>
            </c:ext>
          </c:extLst>
        </c:ser>
        <c:ser>
          <c:idx val="3"/>
          <c:order val="3"/>
          <c:tx>
            <c:strRef>
              <c:f>'quito5 depth'!$N$1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'quito5 depth'!$A$2:$A$46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'quito5 depth'!$N$2:$N$46</c:f>
              <c:numCache>
                <c:formatCode>0%</c:formatCode>
                <c:ptCount val="45"/>
                <c:pt idx="0">
                  <c:v>0.7078651685393258</c:v>
                </c:pt>
                <c:pt idx="1">
                  <c:v>0.78145695364238421</c:v>
                </c:pt>
                <c:pt idx="2">
                  <c:v>0.74647887323943662</c:v>
                </c:pt>
                <c:pt idx="3">
                  <c:v>0.76153846153846161</c:v>
                </c:pt>
                <c:pt idx="4">
                  <c:v>0.76158940397350994</c:v>
                </c:pt>
                <c:pt idx="5">
                  <c:v>0.78378378378378388</c:v>
                </c:pt>
                <c:pt idx="6">
                  <c:v>0.76438356164383559</c:v>
                </c:pt>
                <c:pt idx="7">
                  <c:v>0.74320987654320991</c:v>
                </c:pt>
                <c:pt idx="8">
                  <c:v>0.73271889400921664</c:v>
                </c:pt>
                <c:pt idx="9">
                  <c:v>0.74008810572687234</c:v>
                </c:pt>
                <c:pt idx="10">
                  <c:v>0.71919191919191927</c:v>
                </c:pt>
                <c:pt idx="11">
                  <c:v>0.70463320463320467</c:v>
                </c:pt>
                <c:pt idx="12">
                  <c:v>0.69565217391304346</c:v>
                </c:pt>
                <c:pt idx="13">
                  <c:v>0.70344827586206893</c:v>
                </c:pt>
                <c:pt idx="14">
                  <c:v>0.69394435351882156</c:v>
                </c:pt>
                <c:pt idx="15">
                  <c:v>0.68188976377952748</c:v>
                </c:pt>
                <c:pt idx="16">
                  <c:v>0.67563527653213751</c:v>
                </c:pt>
                <c:pt idx="17">
                  <c:v>0.68428781204111611</c:v>
                </c:pt>
                <c:pt idx="18">
                  <c:v>0.67372881355932213</c:v>
                </c:pt>
                <c:pt idx="19">
                  <c:v>0.6735253772290809</c:v>
                </c:pt>
                <c:pt idx="20">
                  <c:v>0.62296747967479671</c:v>
                </c:pt>
                <c:pt idx="21">
                  <c:v>0.59180327868852456</c:v>
                </c:pt>
                <c:pt idx="22">
                  <c:v>0.57752489331436707</c:v>
                </c:pt>
                <c:pt idx="23">
                  <c:v>0.55809641532756482</c:v>
                </c:pt>
                <c:pt idx="24">
                  <c:v>0.54410143329658212</c:v>
                </c:pt>
                <c:pt idx="25">
                  <c:v>0.53404471544715437</c:v>
                </c:pt>
                <c:pt idx="26">
                  <c:v>0.52119236143455994</c:v>
                </c:pt>
                <c:pt idx="27">
                  <c:v>0.51102464332036313</c:v>
                </c:pt>
                <c:pt idx="28">
                  <c:v>0.48501997336884156</c:v>
                </c:pt>
                <c:pt idx="29">
                  <c:v>0.46767847105115234</c:v>
                </c:pt>
                <c:pt idx="30">
                  <c:v>0.45191594561186654</c:v>
                </c:pt>
                <c:pt idx="31">
                  <c:v>0.44409660107334525</c:v>
                </c:pt>
                <c:pt idx="32">
                  <c:v>0.43437500000000001</c:v>
                </c:pt>
                <c:pt idx="33">
                  <c:v>0.42779291553133519</c:v>
                </c:pt>
                <c:pt idx="34">
                  <c:v>0.42076200993926011</c:v>
                </c:pt>
                <c:pt idx="35">
                  <c:v>0.41730769230769227</c:v>
                </c:pt>
                <c:pt idx="36">
                  <c:v>0.41493143727780596</c:v>
                </c:pt>
                <c:pt idx="37">
                  <c:v>0.41099902375528796</c:v>
                </c:pt>
                <c:pt idx="38">
                  <c:v>0.40594994490791753</c:v>
                </c:pt>
                <c:pt idx="39">
                  <c:v>0.40320855614973261</c:v>
                </c:pt>
                <c:pt idx="40">
                  <c:v>0.40083382966051218</c:v>
                </c:pt>
                <c:pt idx="41">
                  <c:v>0.39845345783484104</c:v>
                </c:pt>
                <c:pt idx="42">
                  <c:v>0.39834143551615675</c:v>
                </c:pt>
                <c:pt idx="43">
                  <c:v>0.39363039530660709</c:v>
                </c:pt>
                <c:pt idx="44">
                  <c:v>0.39131633356305995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1F-2C4B-988E-42001FE1C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grid-9 (cnot count relative to 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</a:t>
            </a:r>
            <a:r>
              <a:rPr lang="en-US" sz="2400" baseline="0"/>
              <a:t>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grid9!$K$1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grid9!$A$2:$A$38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grid9!$K$2:$K$38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E-0D43-B942-9D9F1A05DA4E}"/>
            </c:ext>
          </c:extLst>
        </c:ser>
        <c:ser>
          <c:idx val="1"/>
          <c:order val="1"/>
          <c:tx>
            <c:strRef>
              <c:f>grid9!$L$1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grid9!$A$2:$A$38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grid9!$L$2:$L$38</c:f>
              <c:numCache>
                <c:formatCode>0%</c:formatCode>
                <c:ptCount val="37"/>
                <c:pt idx="0">
                  <c:v>0.77826086956521734</c:v>
                </c:pt>
                <c:pt idx="1">
                  <c:v>0.91935483870967738</c:v>
                </c:pt>
                <c:pt idx="2">
                  <c:v>0.94535519125683065</c:v>
                </c:pt>
                <c:pt idx="3">
                  <c:v>0.94838709677419353</c:v>
                </c:pt>
                <c:pt idx="4">
                  <c:v>0.95590994371482185</c:v>
                </c:pt>
                <c:pt idx="5">
                  <c:v>0.95447019867549665</c:v>
                </c:pt>
                <c:pt idx="6">
                  <c:v>0.95814307458143078</c:v>
                </c:pt>
                <c:pt idx="7">
                  <c:v>0.96403872752420483</c:v>
                </c:pt>
                <c:pt idx="8">
                  <c:v>0.95281189398836463</c:v>
                </c:pt>
                <c:pt idx="9">
                  <c:v>0.96400719856028794</c:v>
                </c:pt>
                <c:pt idx="10">
                  <c:v>0.96492236917768837</c:v>
                </c:pt>
                <c:pt idx="11">
                  <c:v>0.96566523605150212</c:v>
                </c:pt>
                <c:pt idx="12">
                  <c:v>0.95879959308240081</c:v>
                </c:pt>
                <c:pt idx="13">
                  <c:v>0.96228239845261121</c:v>
                </c:pt>
                <c:pt idx="14">
                  <c:v>0.95973782771535587</c:v>
                </c:pt>
                <c:pt idx="15">
                  <c:v>0.95304958315050459</c:v>
                </c:pt>
                <c:pt idx="16">
                  <c:v>0.9778817524457678</c:v>
                </c:pt>
                <c:pt idx="17">
                  <c:v>0.96862265688671545</c:v>
                </c:pt>
                <c:pt idx="18">
                  <c:v>0.95856137607505854</c:v>
                </c:pt>
                <c:pt idx="19">
                  <c:v>0.95944423582425831</c:v>
                </c:pt>
                <c:pt idx="20">
                  <c:v>0.96939343350027829</c:v>
                </c:pt>
                <c:pt idx="21">
                  <c:v>0.97156187513885806</c:v>
                </c:pt>
                <c:pt idx="22">
                  <c:v>0.96736123916651318</c:v>
                </c:pt>
                <c:pt idx="23">
                  <c:v>0.97019657577679141</c:v>
                </c:pt>
                <c:pt idx="24">
                  <c:v>0.96651445966514449</c:v>
                </c:pt>
                <c:pt idx="25">
                  <c:v>0.97587964689792372</c:v>
                </c:pt>
                <c:pt idx="26">
                  <c:v>0.97559337214509623</c:v>
                </c:pt>
                <c:pt idx="27">
                  <c:v>0.97732611582065154</c:v>
                </c:pt>
                <c:pt idx="28">
                  <c:v>0.97175583380762676</c:v>
                </c:pt>
                <c:pt idx="29">
                  <c:v>0.9772236076475479</c:v>
                </c:pt>
                <c:pt idx="30">
                  <c:v>0.97546538948129413</c:v>
                </c:pt>
                <c:pt idx="31">
                  <c:v>0.97516999006799598</c:v>
                </c:pt>
                <c:pt idx="32">
                  <c:v>0.96977329974811088</c:v>
                </c:pt>
                <c:pt idx="33">
                  <c:v>0.97165145716808943</c:v>
                </c:pt>
                <c:pt idx="34">
                  <c:v>0.9734939118413356</c:v>
                </c:pt>
                <c:pt idx="35">
                  <c:v>0.97237729282969632</c:v>
                </c:pt>
                <c:pt idx="36">
                  <c:v>0.97373858561621018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E-0D43-B942-9D9F1A05DA4E}"/>
            </c:ext>
          </c:extLst>
        </c:ser>
        <c:ser>
          <c:idx val="2"/>
          <c:order val="2"/>
          <c:tx>
            <c:strRef>
              <c:f>grid9!$M$1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grid9!$A$2:$A$38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grid9!$M$2:$M$38</c:f>
              <c:numCache>
                <c:formatCode>0%</c:formatCode>
                <c:ptCount val="37"/>
                <c:pt idx="0">
                  <c:v>1.3130434782608695</c:v>
                </c:pt>
                <c:pt idx="1">
                  <c:v>1.0443548387096773</c:v>
                </c:pt>
                <c:pt idx="2">
                  <c:v>0.9193989071038251</c:v>
                </c:pt>
                <c:pt idx="3">
                  <c:v>0.89677419354838717</c:v>
                </c:pt>
                <c:pt idx="4">
                  <c:v>0.87992495309568486</c:v>
                </c:pt>
                <c:pt idx="5">
                  <c:v>0.85761589403973504</c:v>
                </c:pt>
                <c:pt idx="6">
                  <c:v>0.84170471841704708</c:v>
                </c:pt>
                <c:pt idx="7">
                  <c:v>0.83264177040110654</c:v>
                </c:pt>
                <c:pt idx="8">
                  <c:v>0.82934712346477069</c:v>
                </c:pt>
                <c:pt idx="9">
                  <c:v>0.80803839232153563</c:v>
                </c:pt>
                <c:pt idx="10">
                  <c:v>0.80506037952846465</c:v>
                </c:pt>
                <c:pt idx="11">
                  <c:v>0.79291845493562241</c:v>
                </c:pt>
                <c:pt idx="12">
                  <c:v>0.78636826042726349</c:v>
                </c:pt>
                <c:pt idx="13">
                  <c:v>0.78046421663442933</c:v>
                </c:pt>
                <c:pt idx="14">
                  <c:v>0.77481273408239704</c:v>
                </c:pt>
                <c:pt idx="15">
                  <c:v>0.75910487055726195</c:v>
                </c:pt>
                <c:pt idx="16">
                  <c:v>0.76095278604849004</c:v>
                </c:pt>
                <c:pt idx="17">
                  <c:v>0.75631621841890784</c:v>
                </c:pt>
                <c:pt idx="18">
                  <c:v>0.74315871774824072</c:v>
                </c:pt>
                <c:pt idx="19">
                  <c:v>0.74051821254224548</c:v>
                </c:pt>
                <c:pt idx="20">
                  <c:v>0.70701168614357268</c:v>
                </c:pt>
                <c:pt idx="21">
                  <c:v>0.68584758942457225</c:v>
                </c:pt>
                <c:pt idx="22">
                  <c:v>0.66642080029503969</c:v>
                </c:pt>
                <c:pt idx="23">
                  <c:v>0.65583386176284086</c:v>
                </c:pt>
                <c:pt idx="24">
                  <c:v>0.64065310640653106</c:v>
                </c:pt>
                <c:pt idx="25">
                  <c:v>0.6350864105433297</c:v>
                </c:pt>
                <c:pt idx="26">
                  <c:v>0.62819077474249885</c:v>
                </c:pt>
                <c:pt idx="27">
                  <c:v>0.6192421611684199</c:v>
                </c:pt>
                <c:pt idx="28">
                  <c:v>0.58708025042686407</c:v>
                </c:pt>
                <c:pt idx="29">
                  <c:v>0.57046273205874209</c:v>
                </c:pt>
                <c:pt idx="30">
                  <c:v>0.55191577805891923</c:v>
                </c:pt>
                <c:pt idx="31">
                  <c:v>0.53789441515776604</c:v>
                </c:pt>
                <c:pt idx="32">
                  <c:v>0.52641521940872338</c:v>
                </c:pt>
                <c:pt idx="33">
                  <c:v>0.51563143950544599</c:v>
                </c:pt>
                <c:pt idx="34">
                  <c:v>0.50869357154251083</c:v>
                </c:pt>
                <c:pt idx="35">
                  <c:v>0.50066458831774574</c:v>
                </c:pt>
                <c:pt idx="36">
                  <c:v>0.49336799306805307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CE-0D43-B942-9D9F1A05DA4E}"/>
            </c:ext>
          </c:extLst>
        </c:ser>
        <c:ser>
          <c:idx val="3"/>
          <c:order val="3"/>
          <c:tx>
            <c:strRef>
              <c:f>grid9!$N$1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grid9!$A$2:$A$38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grid9!$N$2:$N$38</c:f>
              <c:numCache>
                <c:formatCode>0%</c:formatCode>
                <c:ptCount val="37"/>
                <c:pt idx="0">
                  <c:v>0.71304347826086956</c:v>
                </c:pt>
                <c:pt idx="1">
                  <c:v>0.76411290322580638</c:v>
                </c:pt>
                <c:pt idx="2">
                  <c:v>0.80327868852459006</c:v>
                </c:pt>
                <c:pt idx="3">
                  <c:v>0.80537634408602155</c:v>
                </c:pt>
                <c:pt idx="4">
                  <c:v>0.81801125703564737</c:v>
                </c:pt>
                <c:pt idx="5">
                  <c:v>0.80380794701986757</c:v>
                </c:pt>
                <c:pt idx="6">
                  <c:v>0.80289193302891926</c:v>
                </c:pt>
                <c:pt idx="7">
                  <c:v>0.79944674965421858</c:v>
                </c:pt>
                <c:pt idx="8">
                  <c:v>0.79508726567550103</c:v>
                </c:pt>
                <c:pt idx="9">
                  <c:v>0.77984403119376133</c:v>
                </c:pt>
                <c:pt idx="10">
                  <c:v>0.78148361127084531</c:v>
                </c:pt>
                <c:pt idx="11">
                  <c:v>0.76877682403433478</c:v>
                </c:pt>
                <c:pt idx="12">
                  <c:v>0.76297049847405907</c:v>
                </c:pt>
                <c:pt idx="13">
                  <c:v>0.75822050290135401</c:v>
                </c:pt>
                <c:pt idx="14">
                  <c:v>0.75655430711610483</c:v>
                </c:pt>
                <c:pt idx="15">
                  <c:v>0.74286967968407203</c:v>
                </c:pt>
                <c:pt idx="16">
                  <c:v>0.7439387494683114</c:v>
                </c:pt>
                <c:pt idx="17">
                  <c:v>0.74042379788101054</c:v>
                </c:pt>
                <c:pt idx="18">
                  <c:v>0.73103987490226741</c:v>
                </c:pt>
                <c:pt idx="19">
                  <c:v>0.72699962448366495</c:v>
                </c:pt>
                <c:pt idx="20">
                  <c:v>0.70005564830272682</c:v>
                </c:pt>
                <c:pt idx="21">
                  <c:v>0.68029326816263047</c:v>
                </c:pt>
                <c:pt idx="22">
                  <c:v>0.66144200626959249</c:v>
                </c:pt>
                <c:pt idx="23">
                  <c:v>0.64790741915028538</c:v>
                </c:pt>
                <c:pt idx="24">
                  <c:v>0.63622526636225263</c:v>
                </c:pt>
                <c:pt idx="25">
                  <c:v>0.63247544448588833</c:v>
                </c:pt>
                <c:pt idx="26">
                  <c:v>0.62449619346171059</c:v>
                </c:pt>
                <c:pt idx="27">
                  <c:v>0.61760800735369215</c:v>
                </c:pt>
                <c:pt idx="28">
                  <c:v>0.58523050654524766</c:v>
                </c:pt>
                <c:pt idx="29">
                  <c:v>0.56929897478525904</c:v>
                </c:pt>
                <c:pt idx="30">
                  <c:v>0.55191577805891923</c:v>
                </c:pt>
                <c:pt idx="31">
                  <c:v>0.53884941553976617</c:v>
                </c:pt>
                <c:pt idx="32">
                  <c:v>0.52479119713641798</c:v>
                </c:pt>
                <c:pt idx="33">
                  <c:v>0.51607300559317038</c:v>
                </c:pt>
                <c:pt idx="34">
                  <c:v>0.50760355186898498</c:v>
                </c:pt>
                <c:pt idx="35">
                  <c:v>0.49948041276976252</c:v>
                </c:pt>
                <c:pt idx="36">
                  <c:v>0.49292363749472329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CE-0D43-B942-9D9F1A05D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grid-9 (cnot depth relative to 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</a:t>
            </a:r>
            <a:r>
              <a:rPr lang="en-US" sz="2400" baseline="0"/>
              <a:t>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'grid9 depth'!$K$1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'grid9 depth'!$A$2:$A$38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'grid9 depth'!$K$2:$K$38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6-AA45-A647-E6A731EF0866}"/>
            </c:ext>
          </c:extLst>
        </c:ser>
        <c:ser>
          <c:idx val="1"/>
          <c:order val="1"/>
          <c:tx>
            <c:strRef>
              <c:f>'grid9 depth'!$L$1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'grid9 depth'!$A$2:$A$38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'grid9 depth'!$L$2:$L$38</c:f>
              <c:numCache>
                <c:formatCode>0%</c:formatCode>
                <c:ptCount val="37"/>
                <c:pt idx="0">
                  <c:v>0.83333333333333337</c:v>
                </c:pt>
                <c:pt idx="1">
                  <c:v>0.96449704142011849</c:v>
                </c:pt>
                <c:pt idx="2">
                  <c:v>0.97703549060542794</c:v>
                </c:pt>
                <c:pt idx="3">
                  <c:v>1</c:v>
                </c:pt>
                <c:pt idx="4">
                  <c:v>0.99846390168970822</c:v>
                </c:pt>
                <c:pt idx="5">
                  <c:v>1.0125698324022347</c:v>
                </c:pt>
                <c:pt idx="6">
                  <c:v>1.0038610038610039</c:v>
                </c:pt>
                <c:pt idx="7">
                  <c:v>1.0201900237529691</c:v>
                </c:pt>
                <c:pt idx="8">
                  <c:v>1.0100111234705227</c:v>
                </c:pt>
                <c:pt idx="9">
                  <c:v>1.0052029136316336</c:v>
                </c:pt>
                <c:pt idx="10">
                  <c:v>1.0129740518962076</c:v>
                </c:pt>
                <c:pt idx="11">
                  <c:v>1.011204481792717</c:v>
                </c:pt>
                <c:pt idx="12">
                  <c:v>1.0044483985765125</c:v>
                </c:pt>
                <c:pt idx="13">
                  <c:v>1.0025295109612142</c:v>
                </c:pt>
                <c:pt idx="14">
                  <c:v>1.000819000819001</c:v>
                </c:pt>
                <c:pt idx="15">
                  <c:v>0.9992266047950501</c:v>
                </c:pt>
                <c:pt idx="16">
                  <c:v>1.0111940298507462</c:v>
                </c:pt>
                <c:pt idx="17">
                  <c:v>1</c:v>
                </c:pt>
                <c:pt idx="18">
                  <c:v>1.0083333333333333</c:v>
                </c:pt>
                <c:pt idx="19">
                  <c:v>1.0086782376502001</c:v>
                </c:pt>
                <c:pt idx="20">
                  <c:v>1.0073818897637796</c:v>
                </c:pt>
                <c:pt idx="21">
                  <c:v>1.0066614420062696</c:v>
                </c:pt>
                <c:pt idx="22">
                  <c:v>1.0180387012135126</c:v>
                </c:pt>
                <c:pt idx="23">
                  <c:v>1.0111482720178373</c:v>
                </c:pt>
                <c:pt idx="24">
                  <c:v>1.0060827250608273</c:v>
                </c:pt>
                <c:pt idx="25">
                  <c:v>1.0043215211754537</c:v>
                </c:pt>
                <c:pt idx="26">
                  <c:v>1.0131269592476491</c:v>
                </c:pt>
                <c:pt idx="27">
                  <c:v>1.0128227960819236</c:v>
                </c:pt>
                <c:pt idx="28">
                  <c:v>1.0098400984009841</c:v>
                </c:pt>
                <c:pt idx="29">
                  <c:v>1.0041599697456745</c:v>
                </c:pt>
                <c:pt idx="30">
                  <c:v>1.004767030601261</c:v>
                </c:pt>
                <c:pt idx="31">
                  <c:v>1.0081121422545265</c:v>
                </c:pt>
                <c:pt idx="32">
                  <c:v>1.0041505412530147</c:v>
                </c:pt>
                <c:pt idx="33">
                  <c:v>1.0069881548297566</c:v>
                </c:pt>
                <c:pt idx="34">
                  <c:v>1.010431123248422</c:v>
                </c:pt>
                <c:pt idx="35">
                  <c:v>1.0074356994839706</c:v>
                </c:pt>
                <c:pt idx="36">
                  <c:v>1.0091709055805145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6-AA45-A647-E6A731EF0866}"/>
            </c:ext>
          </c:extLst>
        </c:ser>
        <c:ser>
          <c:idx val="2"/>
          <c:order val="2"/>
          <c:tx>
            <c:strRef>
              <c:f>'grid9 depth'!$M$1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'grid9 depth'!$A$2:$A$38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'grid9 depth'!$M$2:$M$38</c:f>
              <c:numCache>
                <c:formatCode>0%</c:formatCode>
                <c:ptCount val="37"/>
                <c:pt idx="0">
                  <c:v>1.3620689655172415</c:v>
                </c:pt>
                <c:pt idx="1">
                  <c:v>1.1124260355029587</c:v>
                </c:pt>
                <c:pt idx="2">
                  <c:v>0.98121085594989566</c:v>
                </c:pt>
                <c:pt idx="3">
                  <c:v>0.9896013864818024</c:v>
                </c:pt>
                <c:pt idx="4">
                  <c:v>0.96313364055299555</c:v>
                </c:pt>
                <c:pt idx="5">
                  <c:v>0.96927374301675995</c:v>
                </c:pt>
                <c:pt idx="6">
                  <c:v>0.94465894465894473</c:v>
                </c:pt>
                <c:pt idx="7">
                  <c:v>0.95843230403800472</c:v>
                </c:pt>
                <c:pt idx="8">
                  <c:v>0.95216907675194651</c:v>
                </c:pt>
                <c:pt idx="9">
                  <c:v>0.9344432882414152</c:v>
                </c:pt>
                <c:pt idx="10">
                  <c:v>0.9261477045908183</c:v>
                </c:pt>
                <c:pt idx="11">
                  <c:v>0.92343604108309996</c:v>
                </c:pt>
                <c:pt idx="12">
                  <c:v>0.92348754448398573</c:v>
                </c:pt>
                <c:pt idx="13">
                  <c:v>0.91483979763912315</c:v>
                </c:pt>
                <c:pt idx="14">
                  <c:v>0.91564291564291567</c:v>
                </c:pt>
                <c:pt idx="15">
                  <c:v>0.90564578499613291</c:v>
                </c:pt>
                <c:pt idx="16">
                  <c:v>0.90149253731343282</c:v>
                </c:pt>
                <c:pt idx="17">
                  <c:v>0.8977110157367667</c:v>
                </c:pt>
                <c:pt idx="18">
                  <c:v>0.89583333333333337</c:v>
                </c:pt>
                <c:pt idx="19">
                  <c:v>0.89586114819759666</c:v>
                </c:pt>
                <c:pt idx="20">
                  <c:v>0.86417322834645671</c:v>
                </c:pt>
                <c:pt idx="21">
                  <c:v>0.84482758620689657</c:v>
                </c:pt>
                <c:pt idx="22">
                  <c:v>0.83732371269268624</c:v>
                </c:pt>
                <c:pt idx="23">
                  <c:v>0.81577480490523968</c:v>
                </c:pt>
                <c:pt idx="24">
                  <c:v>0.80510948905109481</c:v>
                </c:pt>
                <c:pt idx="25">
                  <c:v>0.79170267934312877</c:v>
                </c:pt>
                <c:pt idx="26">
                  <c:v>0.7913401253918495</c:v>
                </c:pt>
                <c:pt idx="27">
                  <c:v>0.78094390026714156</c:v>
                </c:pt>
                <c:pt idx="28">
                  <c:v>0.74538745387453875</c:v>
                </c:pt>
                <c:pt idx="29">
                  <c:v>0.72090384797201468</c:v>
                </c:pt>
                <c:pt idx="30">
                  <c:v>0.70182992465016147</c:v>
                </c:pt>
                <c:pt idx="31">
                  <c:v>0.68622233759491214</c:v>
                </c:pt>
                <c:pt idx="32">
                  <c:v>0.67143418026810242</c:v>
                </c:pt>
                <c:pt idx="33">
                  <c:v>0.65767953610546659</c:v>
                </c:pt>
                <c:pt idx="34">
                  <c:v>0.65049021802390661</c:v>
                </c:pt>
                <c:pt idx="35">
                  <c:v>0.64113607736378053</c:v>
                </c:pt>
                <c:pt idx="36">
                  <c:v>0.62826272602383681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36-AA45-A647-E6A731EF0866}"/>
            </c:ext>
          </c:extLst>
        </c:ser>
        <c:ser>
          <c:idx val="3"/>
          <c:order val="3"/>
          <c:tx>
            <c:strRef>
              <c:f>'grid9 depth'!$N$1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'grid9 depth'!$A$2:$A$38</c:f>
              <c:numCache>
                <c:formatCode>General</c:formatCode>
                <c:ptCount val="3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</c:numCache>
            </c:numRef>
          </c:cat>
          <c:val>
            <c:numRef>
              <c:f>'grid9 depth'!$N$2:$N$38</c:f>
              <c:numCache>
                <c:formatCode>0%</c:formatCode>
                <c:ptCount val="37"/>
                <c:pt idx="0">
                  <c:v>0.78735632183908044</c:v>
                </c:pt>
                <c:pt idx="1">
                  <c:v>0.8550295857988166</c:v>
                </c:pt>
                <c:pt idx="2">
                  <c:v>0.8810020876826723</c:v>
                </c:pt>
                <c:pt idx="3">
                  <c:v>0.90987868284228768</c:v>
                </c:pt>
                <c:pt idx="4">
                  <c:v>0.91397849462365599</c:v>
                </c:pt>
                <c:pt idx="5">
                  <c:v>0.91899441340782129</c:v>
                </c:pt>
                <c:pt idx="6">
                  <c:v>0.90862290862290851</c:v>
                </c:pt>
                <c:pt idx="7">
                  <c:v>0.91805225653206646</c:v>
                </c:pt>
                <c:pt idx="8">
                  <c:v>0.90545050055617349</c:v>
                </c:pt>
                <c:pt idx="9">
                  <c:v>0.90322580645161288</c:v>
                </c:pt>
                <c:pt idx="10">
                  <c:v>0.90918163672654684</c:v>
                </c:pt>
                <c:pt idx="11">
                  <c:v>0.89729225023342674</c:v>
                </c:pt>
                <c:pt idx="12">
                  <c:v>0.89412811387900348</c:v>
                </c:pt>
                <c:pt idx="13">
                  <c:v>0.88870151770657679</c:v>
                </c:pt>
                <c:pt idx="14">
                  <c:v>0.89352989352989354</c:v>
                </c:pt>
                <c:pt idx="15">
                  <c:v>0.88476411446249026</c:v>
                </c:pt>
                <c:pt idx="16">
                  <c:v>0.88059701492537312</c:v>
                </c:pt>
                <c:pt idx="17">
                  <c:v>0.88125894134477822</c:v>
                </c:pt>
                <c:pt idx="18">
                  <c:v>0.88055555555555554</c:v>
                </c:pt>
                <c:pt idx="19">
                  <c:v>0.88050734312416556</c:v>
                </c:pt>
                <c:pt idx="20">
                  <c:v>0.85383858267716539</c:v>
                </c:pt>
                <c:pt idx="21">
                  <c:v>0.84012539184952983</c:v>
                </c:pt>
                <c:pt idx="22">
                  <c:v>0.82650049196457864</c:v>
                </c:pt>
                <c:pt idx="23">
                  <c:v>0.80964325529542913</c:v>
                </c:pt>
                <c:pt idx="24">
                  <c:v>0.79878345498783454</c:v>
                </c:pt>
                <c:pt idx="25">
                  <c:v>0.788029386343993</c:v>
                </c:pt>
                <c:pt idx="26">
                  <c:v>0.78546238244514111</c:v>
                </c:pt>
                <c:pt idx="27">
                  <c:v>0.77934105075690119</c:v>
                </c:pt>
                <c:pt idx="28">
                  <c:v>0.74428044280442807</c:v>
                </c:pt>
                <c:pt idx="29">
                  <c:v>0.71958022123475462</c:v>
                </c:pt>
                <c:pt idx="30">
                  <c:v>0.7009841611563894</c:v>
                </c:pt>
                <c:pt idx="31">
                  <c:v>0.68739048607956388</c:v>
                </c:pt>
                <c:pt idx="32">
                  <c:v>0.66969544001346115</c:v>
                </c:pt>
                <c:pt idx="33">
                  <c:v>0.65797690439609446</c:v>
                </c:pt>
                <c:pt idx="34">
                  <c:v>0.64892331109817791</c:v>
                </c:pt>
                <c:pt idx="35">
                  <c:v>0.63857624639388888</c:v>
                </c:pt>
                <c:pt idx="36">
                  <c:v>0.6281513385066646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36-AA45-A647-E6A731EF0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grid-16 (cnot count relative to 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</a:t>
            </a:r>
            <a:r>
              <a:rPr lang="en-US" sz="2400" baseline="0"/>
              <a:t>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grid16!$K$1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grid16!$A$2:$A$35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grid16!$K$2:$K$35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1-1D4C-A7E3-5C8DB1EFA44D}"/>
            </c:ext>
          </c:extLst>
        </c:ser>
        <c:ser>
          <c:idx val="1"/>
          <c:order val="1"/>
          <c:tx>
            <c:strRef>
              <c:f>grid16!$L$1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grid16!$A$2:$A$35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grid16!$L$2:$L$35</c:f>
              <c:numCache>
                <c:formatCode>0%</c:formatCode>
                <c:ptCount val="34"/>
                <c:pt idx="0">
                  <c:v>0.84948096885813151</c:v>
                </c:pt>
                <c:pt idx="1">
                  <c:v>0.91578947368421049</c:v>
                </c:pt>
                <c:pt idx="2">
                  <c:v>0.95325708602685233</c:v>
                </c:pt>
                <c:pt idx="3">
                  <c:v>0.94177310293012773</c:v>
                </c:pt>
                <c:pt idx="4">
                  <c:v>0.94249512670565305</c:v>
                </c:pt>
                <c:pt idx="5">
                  <c:v>0.95172615564657692</c:v>
                </c:pt>
                <c:pt idx="6">
                  <c:v>0.95709660010793296</c:v>
                </c:pt>
                <c:pt idx="7">
                  <c:v>0.9697199091597275</c:v>
                </c:pt>
                <c:pt idx="8">
                  <c:v>0.96225071225071235</c:v>
                </c:pt>
                <c:pt idx="9">
                  <c:v>0.96765498652291115</c:v>
                </c:pt>
                <c:pt idx="10">
                  <c:v>0.96429335043831521</c:v>
                </c:pt>
                <c:pt idx="11">
                  <c:v>0.97031729785056298</c:v>
                </c:pt>
                <c:pt idx="12">
                  <c:v>0.96886626199334247</c:v>
                </c:pt>
                <c:pt idx="13">
                  <c:v>0.97011278195488726</c:v>
                </c:pt>
                <c:pt idx="14">
                  <c:v>0.97292877906976749</c:v>
                </c:pt>
                <c:pt idx="15">
                  <c:v>0.96747826086956512</c:v>
                </c:pt>
                <c:pt idx="16">
                  <c:v>0.96605351170568565</c:v>
                </c:pt>
                <c:pt idx="17">
                  <c:v>0.96772100567721009</c:v>
                </c:pt>
                <c:pt idx="18">
                  <c:v>0.97141510915658857</c:v>
                </c:pt>
                <c:pt idx="19">
                  <c:v>0.97268009768009756</c:v>
                </c:pt>
                <c:pt idx="20">
                  <c:v>0.9728235836020267</c:v>
                </c:pt>
                <c:pt idx="21">
                  <c:v>0.97184538189927527</c:v>
                </c:pt>
                <c:pt idx="22">
                  <c:v>0.96952025503460082</c:v>
                </c:pt>
                <c:pt idx="23">
                  <c:v>0.9769313304721029</c:v>
                </c:pt>
                <c:pt idx="24">
                  <c:v>0.97312871170694415</c:v>
                </c:pt>
                <c:pt idx="25">
                  <c:v>0.975540625656099</c:v>
                </c:pt>
                <c:pt idx="26">
                  <c:v>0.97436140467276433</c:v>
                </c:pt>
                <c:pt idx="27">
                  <c:v>0.9743567567567567</c:v>
                </c:pt>
                <c:pt idx="28">
                  <c:v>0.97419451073985686</c:v>
                </c:pt>
                <c:pt idx="29">
                  <c:v>0.97612981707177127</c:v>
                </c:pt>
                <c:pt idx="30">
                  <c:v>0.97260045573278509</c:v>
                </c:pt>
                <c:pt idx="31">
                  <c:v>0.97741183100355333</c:v>
                </c:pt>
                <c:pt idx="32">
                  <c:v>0.97617570920073349</c:v>
                </c:pt>
                <c:pt idx="33">
                  <c:v>0.97682095613555953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1-1D4C-A7E3-5C8DB1EFA44D}"/>
            </c:ext>
          </c:extLst>
        </c:ser>
        <c:ser>
          <c:idx val="2"/>
          <c:order val="2"/>
          <c:tx>
            <c:strRef>
              <c:f>grid16!$M$1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grid16!$A$2:$A$35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grid16!$M$2:$M$35</c:f>
              <c:numCache>
                <c:formatCode>0%</c:formatCode>
                <c:ptCount val="34"/>
                <c:pt idx="0">
                  <c:v>1.3737024221453289</c:v>
                </c:pt>
                <c:pt idx="1">
                  <c:v>1.1466165413533835</c:v>
                </c:pt>
                <c:pt idx="2">
                  <c:v>1.0313276976628543</c:v>
                </c:pt>
                <c:pt idx="3">
                  <c:v>0.96055597295266715</c:v>
                </c:pt>
                <c:pt idx="4">
                  <c:v>0.95419103313840148</c:v>
                </c:pt>
                <c:pt idx="5">
                  <c:v>0.93943826799297836</c:v>
                </c:pt>
                <c:pt idx="6">
                  <c:v>0.92822450080949803</c:v>
                </c:pt>
                <c:pt idx="7">
                  <c:v>0.92253343426696954</c:v>
                </c:pt>
                <c:pt idx="8">
                  <c:v>0.92022792022792033</c:v>
                </c:pt>
                <c:pt idx="9">
                  <c:v>0.91329739442947</c:v>
                </c:pt>
                <c:pt idx="10">
                  <c:v>0.90613641223006203</c:v>
                </c:pt>
                <c:pt idx="11">
                  <c:v>0.90153531218014327</c:v>
                </c:pt>
                <c:pt idx="12">
                  <c:v>0.89661249265713727</c:v>
                </c:pt>
                <c:pt idx="13">
                  <c:v>0.88984962406015033</c:v>
                </c:pt>
                <c:pt idx="14">
                  <c:v>0.88953488372093026</c:v>
                </c:pt>
                <c:pt idx="15">
                  <c:v>0.88208695652173907</c:v>
                </c:pt>
                <c:pt idx="16">
                  <c:v>0.87692307692307692</c:v>
                </c:pt>
                <c:pt idx="17">
                  <c:v>0.87250608272506081</c:v>
                </c:pt>
                <c:pt idx="18">
                  <c:v>0.8734097691220355</c:v>
                </c:pt>
                <c:pt idx="19">
                  <c:v>0.87011599511599513</c:v>
                </c:pt>
                <c:pt idx="20">
                  <c:v>0.84327498848456928</c:v>
                </c:pt>
                <c:pt idx="21">
                  <c:v>0.82326705073406425</c:v>
                </c:pt>
                <c:pt idx="22">
                  <c:v>0.80989036622346633</c:v>
                </c:pt>
                <c:pt idx="23">
                  <c:v>0.80391630901287547</c:v>
                </c:pt>
                <c:pt idx="24">
                  <c:v>0.79185041453519145</c:v>
                </c:pt>
                <c:pt idx="25">
                  <c:v>0.78558681503254257</c:v>
                </c:pt>
                <c:pt idx="26">
                  <c:v>0.77887303919245532</c:v>
                </c:pt>
                <c:pt idx="27">
                  <c:v>0.77595675675675679</c:v>
                </c:pt>
                <c:pt idx="28">
                  <c:v>0.75438544152744624</c:v>
                </c:pt>
                <c:pt idx="29">
                  <c:v>0.74167412609883188</c:v>
                </c:pt>
                <c:pt idx="30">
                  <c:v>0.72946886752255513</c:v>
                </c:pt>
                <c:pt idx="31">
                  <c:v>0.72214830236526151</c:v>
                </c:pt>
                <c:pt idx="32">
                  <c:v>0.71366357458742313</c:v>
                </c:pt>
                <c:pt idx="33">
                  <c:v>0.70905075165649423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1-1D4C-A7E3-5C8DB1EFA44D}"/>
            </c:ext>
          </c:extLst>
        </c:ser>
        <c:ser>
          <c:idx val="3"/>
          <c:order val="3"/>
          <c:tx>
            <c:strRef>
              <c:f>grid16!$N$1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grid16!$A$2:$A$35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grid16!$N$2:$N$35</c:f>
              <c:numCache>
                <c:formatCode>0%</c:formatCode>
                <c:ptCount val="34"/>
                <c:pt idx="0">
                  <c:v>0.82006920415224915</c:v>
                </c:pt>
                <c:pt idx="1">
                  <c:v>0.81503759398496245</c:v>
                </c:pt>
                <c:pt idx="2">
                  <c:v>0.85380407757334653</c:v>
                </c:pt>
                <c:pt idx="3">
                  <c:v>0.85912847483095411</c:v>
                </c:pt>
                <c:pt idx="4">
                  <c:v>0.8564002599090319</c:v>
                </c:pt>
                <c:pt idx="5">
                  <c:v>0.87712112346401405</c:v>
                </c:pt>
                <c:pt idx="6">
                  <c:v>0.86940097139773331</c:v>
                </c:pt>
                <c:pt idx="7">
                  <c:v>0.88771132980065603</c:v>
                </c:pt>
                <c:pt idx="8">
                  <c:v>0.87867996201329546</c:v>
                </c:pt>
                <c:pt idx="9">
                  <c:v>0.88274932614555257</c:v>
                </c:pt>
                <c:pt idx="10">
                  <c:v>0.87641650630746204</c:v>
                </c:pt>
                <c:pt idx="11">
                  <c:v>0.87881269191402256</c:v>
                </c:pt>
                <c:pt idx="12">
                  <c:v>0.87252790287840221</c:v>
                </c:pt>
                <c:pt idx="13">
                  <c:v>0.86879699248120301</c:v>
                </c:pt>
                <c:pt idx="14">
                  <c:v>0.86845930232558144</c:v>
                </c:pt>
                <c:pt idx="15">
                  <c:v>0.86226086956521741</c:v>
                </c:pt>
                <c:pt idx="16">
                  <c:v>0.85652173913043483</c:v>
                </c:pt>
                <c:pt idx="17">
                  <c:v>0.85839416058394169</c:v>
                </c:pt>
                <c:pt idx="18">
                  <c:v>0.85440552850636087</c:v>
                </c:pt>
                <c:pt idx="19">
                  <c:v>0.85592185592185577</c:v>
                </c:pt>
                <c:pt idx="20">
                  <c:v>0.83245048364808838</c:v>
                </c:pt>
                <c:pt idx="21">
                  <c:v>0.8154618100724772</c:v>
                </c:pt>
                <c:pt idx="22">
                  <c:v>0.8012596221133661</c:v>
                </c:pt>
                <c:pt idx="23">
                  <c:v>0.79573497854077246</c:v>
                </c:pt>
                <c:pt idx="24">
                  <c:v>0.78620568001411173</c:v>
                </c:pt>
                <c:pt idx="25">
                  <c:v>0.7823325635103926</c:v>
                </c:pt>
                <c:pt idx="26">
                  <c:v>0.77432349177764093</c:v>
                </c:pt>
                <c:pt idx="27">
                  <c:v>0.77215135135135127</c:v>
                </c:pt>
                <c:pt idx="28">
                  <c:v>0.75041766109785202</c:v>
                </c:pt>
                <c:pt idx="29">
                  <c:v>0.73912644311322284</c:v>
                </c:pt>
                <c:pt idx="30">
                  <c:v>0.72706052353693107</c:v>
                </c:pt>
                <c:pt idx="31">
                  <c:v>0.72034813643692375</c:v>
                </c:pt>
                <c:pt idx="32">
                  <c:v>0.71230180131593135</c:v>
                </c:pt>
                <c:pt idx="33">
                  <c:v>0.70747144180302557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B1-1D4C-A7E3-5C8DB1EFA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grid-16 (cnot depth relative to 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</a:t>
            </a:r>
            <a:r>
              <a:rPr lang="en-US" sz="2400" baseline="0"/>
              <a:t>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'grid16 depth'!$K$1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'grid16 depth'!$A$2:$A$35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'grid16 depth'!$K$2:$K$35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9-3B45-BADB-71FC6F8CAB9F}"/>
            </c:ext>
          </c:extLst>
        </c:ser>
        <c:ser>
          <c:idx val="1"/>
          <c:order val="1"/>
          <c:tx>
            <c:strRef>
              <c:f>'grid16 depth'!$L$1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'grid16 depth'!$A$2:$A$35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'grid16 depth'!$L$2:$L$35</c:f>
              <c:numCache>
                <c:formatCode>0%</c:formatCode>
                <c:ptCount val="34"/>
                <c:pt idx="0">
                  <c:v>0.92349726775956276</c:v>
                </c:pt>
                <c:pt idx="1">
                  <c:v>0.97517241379310349</c:v>
                </c:pt>
                <c:pt idx="2">
                  <c:v>0.97029702970297027</c:v>
                </c:pt>
                <c:pt idx="3">
                  <c:v>0.97202238209432457</c:v>
                </c:pt>
                <c:pt idx="4">
                  <c:v>0.9628305932809148</c:v>
                </c:pt>
                <c:pt idx="5">
                  <c:v>0.98871181938911035</c:v>
                </c:pt>
                <c:pt idx="6">
                  <c:v>0.98321939092604094</c:v>
                </c:pt>
                <c:pt idx="7">
                  <c:v>0.99647058823529411</c:v>
                </c:pt>
                <c:pt idx="8">
                  <c:v>0.9832589285714286</c:v>
                </c:pt>
                <c:pt idx="9">
                  <c:v>0.98300584174190109</c:v>
                </c:pt>
                <c:pt idx="10">
                  <c:v>0.99123259412068065</c:v>
                </c:pt>
                <c:pt idx="11">
                  <c:v>0.99111988159842135</c:v>
                </c:pt>
                <c:pt idx="12">
                  <c:v>0.98755980861244019</c:v>
                </c:pt>
                <c:pt idx="13">
                  <c:v>0.99907192575406034</c:v>
                </c:pt>
                <c:pt idx="14">
                  <c:v>0.99417823555754581</c:v>
                </c:pt>
                <c:pt idx="15">
                  <c:v>1.0048140043763676</c:v>
                </c:pt>
                <c:pt idx="16">
                  <c:v>0.99409531843104171</c:v>
                </c:pt>
                <c:pt idx="17">
                  <c:v>0.99753997539975403</c:v>
                </c:pt>
                <c:pt idx="18">
                  <c:v>0.99682539682539673</c:v>
                </c:pt>
                <c:pt idx="19">
                  <c:v>0.99961074347995338</c:v>
                </c:pt>
                <c:pt idx="20">
                  <c:v>0.99514268366727399</c:v>
                </c:pt>
                <c:pt idx="21">
                  <c:v>0.99924924924924918</c:v>
                </c:pt>
                <c:pt idx="22">
                  <c:v>1.0089858793324777</c:v>
                </c:pt>
                <c:pt idx="23">
                  <c:v>1.0038731095536702</c:v>
                </c:pt>
                <c:pt idx="24">
                  <c:v>0.99445893089960891</c:v>
                </c:pt>
                <c:pt idx="25">
                  <c:v>0.99985382254056421</c:v>
                </c:pt>
                <c:pt idx="26">
                  <c:v>1.0098587796429523</c:v>
                </c:pt>
                <c:pt idx="27">
                  <c:v>1.0009706381946128</c:v>
                </c:pt>
                <c:pt idx="28">
                  <c:v>1.0011834319526629</c:v>
                </c:pt>
                <c:pt idx="29">
                  <c:v>1.0114889705882353</c:v>
                </c:pt>
                <c:pt idx="30">
                  <c:v>1.0016443878633565</c:v>
                </c:pt>
                <c:pt idx="31">
                  <c:v>1.0120817426454076</c:v>
                </c:pt>
                <c:pt idx="32">
                  <c:v>1.0078248467794779</c:v>
                </c:pt>
                <c:pt idx="33">
                  <c:v>1.0026845181459834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9-3B45-BADB-71FC6F8CAB9F}"/>
            </c:ext>
          </c:extLst>
        </c:ser>
        <c:ser>
          <c:idx val="2"/>
          <c:order val="2"/>
          <c:tx>
            <c:strRef>
              <c:f>'grid16 depth'!$M$1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'grid16 depth'!$A$2:$A$35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'grid16 depth'!$M$2:$M$35</c:f>
              <c:numCache>
                <c:formatCode>0%</c:formatCode>
                <c:ptCount val="34"/>
                <c:pt idx="0">
                  <c:v>1.3825136612021858</c:v>
                </c:pt>
                <c:pt idx="1">
                  <c:v>1.1889655172413793</c:v>
                </c:pt>
                <c:pt idx="2">
                  <c:v>1.0881188118811882</c:v>
                </c:pt>
                <c:pt idx="3">
                  <c:v>1.0375699440447643</c:v>
                </c:pt>
                <c:pt idx="4">
                  <c:v>1.0536097212294495</c:v>
                </c:pt>
                <c:pt idx="5">
                  <c:v>1.058432934926959</c:v>
                </c:pt>
                <c:pt idx="6">
                  <c:v>1.0522063393412058</c:v>
                </c:pt>
                <c:pt idx="7">
                  <c:v>1.0558823529411765</c:v>
                </c:pt>
                <c:pt idx="8">
                  <c:v>1.0613839285714286</c:v>
                </c:pt>
                <c:pt idx="9">
                  <c:v>1.0584174190122146</c:v>
                </c:pt>
                <c:pt idx="10">
                  <c:v>1.0794223826714802</c:v>
                </c:pt>
                <c:pt idx="11">
                  <c:v>1.0705476073014308</c:v>
                </c:pt>
                <c:pt idx="12">
                  <c:v>1.0799043062200957</c:v>
                </c:pt>
                <c:pt idx="13">
                  <c:v>1.0779582366589329</c:v>
                </c:pt>
                <c:pt idx="14">
                  <c:v>1.083743842364532</c:v>
                </c:pt>
                <c:pt idx="15">
                  <c:v>1.0932166301969366</c:v>
                </c:pt>
                <c:pt idx="16">
                  <c:v>1.1008013496415014</c:v>
                </c:pt>
                <c:pt idx="17">
                  <c:v>1.091430914309143</c:v>
                </c:pt>
                <c:pt idx="18">
                  <c:v>1.0936507936507938</c:v>
                </c:pt>
                <c:pt idx="19">
                  <c:v>1.1023744647722851</c:v>
                </c:pt>
                <c:pt idx="20">
                  <c:v>1.115664845173042</c:v>
                </c:pt>
                <c:pt idx="21">
                  <c:v>1.117117117117117</c:v>
                </c:pt>
                <c:pt idx="22">
                  <c:v>1.1332905434317502</c:v>
                </c:pt>
                <c:pt idx="23">
                  <c:v>1.1283659166359274</c:v>
                </c:pt>
                <c:pt idx="24">
                  <c:v>1.1253259452411994</c:v>
                </c:pt>
                <c:pt idx="25">
                  <c:v>1.119865516737319</c:v>
                </c:pt>
                <c:pt idx="26">
                  <c:v>1.1284305888622435</c:v>
                </c:pt>
                <c:pt idx="27">
                  <c:v>1.122785731618539</c:v>
                </c:pt>
                <c:pt idx="28">
                  <c:v>1.1163144547759931</c:v>
                </c:pt>
                <c:pt idx="29">
                  <c:v>1.1157431722689075</c:v>
                </c:pt>
                <c:pt idx="30">
                  <c:v>1.1085295989815405</c:v>
                </c:pt>
                <c:pt idx="31">
                  <c:v>1.1058612171569728</c:v>
                </c:pt>
                <c:pt idx="32">
                  <c:v>1.0933970627915044</c:v>
                </c:pt>
                <c:pt idx="33">
                  <c:v>1.0918173168411036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49-3B45-BADB-71FC6F8CAB9F}"/>
            </c:ext>
          </c:extLst>
        </c:ser>
        <c:ser>
          <c:idx val="3"/>
          <c:order val="3"/>
          <c:tx>
            <c:strRef>
              <c:f>'grid16 depth'!$N$1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'grid16 depth'!$A$2:$A$35</c:f>
              <c:numCache>
                <c:formatCode>General</c:formatCode>
                <c:ptCount val="3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</c:numCache>
            </c:numRef>
          </c:cat>
          <c:val>
            <c:numRef>
              <c:f>'grid16 depth'!$N$2:$N$35</c:f>
              <c:numCache>
                <c:formatCode>0%</c:formatCode>
                <c:ptCount val="34"/>
                <c:pt idx="0">
                  <c:v>0.89617486338797803</c:v>
                </c:pt>
                <c:pt idx="1">
                  <c:v>0.89931034482758621</c:v>
                </c:pt>
                <c:pt idx="2">
                  <c:v>0.93465346534653471</c:v>
                </c:pt>
                <c:pt idx="3">
                  <c:v>0.95923261390887293</c:v>
                </c:pt>
                <c:pt idx="4">
                  <c:v>0.96068620443173691</c:v>
                </c:pt>
                <c:pt idx="5">
                  <c:v>1</c:v>
                </c:pt>
                <c:pt idx="6">
                  <c:v>1.0062150403977626</c:v>
                </c:pt>
                <c:pt idx="7">
                  <c:v>1.0217647058823529</c:v>
                </c:pt>
                <c:pt idx="8">
                  <c:v>1.0223214285714286</c:v>
                </c:pt>
                <c:pt idx="9">
                  <c:v>1.0350504514073287</c:v>
                </c:pt>
                <c:pt idx="10">
                  <c:v>1.042289840123775</c:v>
                </c:pt>
                <c:pt idx="11">
                  <c:v>1.0518006906758757</c:v>
                </c:pt>
                <c:pt idx="12">
                  <c:v>1.0559808612440191</c:v>
                </c:pt>
                <c:pt idx="13">
                  <c:v>1.0598607888631091</c:v>
                </c:pt>
                <c:pt idx="14">
                  <c:v>1.0618002686968204</c:v>
                </c:pt>
                <c:pt idx="15">
                  <c:v>1.0752735229759298</c:v>
                </c:pt>
                <c:pt idx="16">
                  <c:v>1.0759173344580346</c:v>
                </c:pt>
                <c:pt idx="17">
                  <c:v>1.0803608036080361</c:v>
                </c:pt>
                <c:pt idx="18">
                  <c:v>1.073015873015873</c:v>
                </c:pt>
                <c:pt idx="19">
                  <c:v>1.090307512650837</c:v>
                </c:pt>
                <c:pt idx="20">
                  <c:v>1.1004857316332728</c:v>
                </c:pt>
                <c:pt idx="21">
                  <c:v>1.1076076076076076</c:v>
                </c:pt>
                <c:pt idx="22">
                  <c:v>1.1193838254172017</c:v>
                </c:pt>
                <c:pt idx="23">
                  <c:v>1.1154555514570268</c:v>
                </c:pt>
                <c:pt idx="24">
                  <c:v>1.1204367666232073</c:v>
                </c:pt>
                <c:pt idx="25">
                  <c:v>1.1179652097646542</c:v>
                </c:pt>
                <c:pt idx="26">
                  <c:v>1.1240341060484946</c:v>
                </c:pt>
                <c:pt idx="27">
                  <c:v>1.1182965299684542</c:v>
                </c:pt>
                <c:pt idx="28">
                  <c:v>1.1145393068469991</c:v>
                </c:pt>
                <c:pt idx="29">
                  <c:v>1.1132484243697478</c:v>
                </c:pt>
                <c:pt idx="30">
                  <c:v>1.1059304052620411</c:v>
                </c:pt>
                <c:pt idx="31">
                  <c:v>1.1036604536267685</c:v>
                </c:pt>
                <c:pt idx="32">
                  <c:v>1.0924334117102878</c:v>
                </c:pt>
                <c:pt idx="33">
                  <c:v>1.0899823297539757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49-3B45-BADB-71FC6F8CA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Gadgets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Guadalupe-16 (cnot count relative to 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</a:t>
            </a:r>
            <a:r>
              <a:rPr lang="en-US" sz="2400" baseline="0"/>
              <a:t>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guadalupe16!$K$1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guadalupe16!$A$2:$A$36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</c:numCache>
            </c:numRef>
          </c:cat>
          <c:val>
            <c:numRef>
              <c:f>guadalupe16!$K$2:$K$36</c:f>
              <c:numCache>
                <c:formatCode>General</c:formatCode>
                <c:ptCount val="3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93-7F43-8842-4CFD87BAE93B}"/>
            </c:ext>
          </c:extLst>
        </c:ser>
        <c:ser>
          <c:idx val="1"/>
          <c:order val="1"/>
          <c:tx>
            <c:strRef>
              <c:f>guadalupe16!$L$1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guadalupe16!$A$2:$A$36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</c:numCache>
            </c:numRef>
          </c:cat>
          <c:val>
            <c:numRef>
              <c:f>guadalupe16!$L$2:$L$36</c:f>
              <c:numCache>
                <c:formatCode>0%</c:formatCode>
                <c:ptCount val="35"/>
                <c:pt idx="0">
                  <c:v>0.86411609498680741</c:v>
                </c:pt>
                <c:pt idx="1">
                  <c:v>0.82108183079056873</c:v>
                </c:pt>
                <c:pt idx="2">
                  <c:v>0.8649618663077614</c:v>
                </c:pt>
                <c:pt idx="3">
                  <c:v>0.90346702923181521</c:v>
                </c:pt>
                <c:pt idx="4">
                  <c:v>0.94100207530388369</c:v>
                </c:pt>
                <c:pt idx="5">
                  <c:v>0.95385422128998432</c:v>
                </c:pt>
                <c:pt idx="6">
                  <c:v>0.95910960561335579</c:v>
                </c:pt>
                <c:pt idx="7">
                  <c:v>0.96764115152867669</c:v>
                </c:pt>
                <c:pt idx="8">
                  <c:v>0.97007742205482328</c:v>
                </c:pt>
                <c:pt idx="9">
                  <c:v>0.97021108699940828</c:v>
                </c:pt>
                <c:pt idx="10">
                  <c:v>0.97596244131455412</c:v>
                </c:pt>
                <c:pt idx="11">
                  <c:v>0.97351581940988274</c:v>
                </c:pt>
                <c:pt idx="12">
                  <c:v>0.97698994375319581</c:v>
                </c:pt>
                <c:pt idx="13">
                  <c:v>0.97986906710310973</c:v>
                </c:pt>
                <c:pt idx="14">
                  <c:v>0.97871333964049201</c:v>
                </c:pt>
                <c:pt idx="15">
                  <c:v>0.97975830815709974</c:v>
                </c:pt>
                <c:pt idx="16">
                  <c:v>0.97906672481465329</c:v>
                </c:pt>
                <c:pt idx="17">
                  <c:v>0.9849486566324378</c:v>
                </c:pt>
                <c:pt idx="18">
                  <c:v>0.9759068760151598</c:v>
                </c:pt>
                <c:pt idx="19">
                  <c:v>0.9819926393270243</c:v>
                </c:pt>
                <c:pt idx="20">
                  <c:v>0.9846822808577923</c:v>
                </c:pt>
                <c:pt idx="21">
                  <c:v>0.98510570147341459</c:v>
                </c:pt>
                <c:pt idx="22">
                  <c:v>0.98571141074662916</c:v>
                </c:pt>
                <c:pt idx="23">
                  <c:v>0.9844090335893616</c:v>
                </c:pt>
                <c:pt idx="24">
                  <c:v>0.9886300469958057</c:v>
                </c:pt>
                <c:pt idx="25">
                  <c:v>0.98869012751768559</c:v>
                </c:pt>
                <c:pt idx="26">
                  <c:v>0.9853132099967542</c:v>
                </c:pt>
                <c:pt idx="27">
                  <c:v>0.98880527857063427</c:v>
                </c:pt>
                <c:pt idx="28">
                  <c:v>0.98586681004685461</c:v>
                </c:pt>
                <c:pt idx="29">
                  <c:v>0.9912010123779017</c:v>
                </c:pt>
                <c:pt idx="30">
                  <c:v>0.98964326812428072</c:v>
                </c:pt>
                <c:pt idx="31">
                  <c:v>0.99062212853359288</c:v>
                </c:pt>
                <c:pt idx="32">
                  <c:v>0.99071655159544691</c:v>
                </c:pt>
                <c:pt idx="33">
                  <c:v>0.99137709270139851</c:v>
                </c:pt>
                <c:pt idx="34">
                  <c:v>0.99287069616638735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93-7F43-8842-4CFD87BAE93B}"/>
            </c:ext>
          </c:extLst>
        </c:ser>
        <c:ser>
          <c:idx val="2"/>
          <c:order val="2"/>
          <c:tx>
            <c:strRef>
              <c:f>guadalupe16!$M$1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guadalupe16!$A$2:$A$36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</c:numCache>
            </c:numRef>
          </c:cat>
          <c:val>
            <c:numRef>
              <c:f>guadalupe16!$M$2:$M$36</c:f>
              <c:numCache>
                <c:formatCode>0%</c:formatCode>
                <c:ptCount val="35"/>
                <c:pt idx="0">
                  <c:v>1.278364116094987</c:v>
                </c:pt>
                <c:pt idx="1">
                  <c:v>1.0603328710124829</c:v>
                </c:pt>
                <c:pt idx="2">
                  <c:v>0.97846567967698517</c:v>
                </c:pt>
                <c:pt idx="3">
                  <c:v>0.9276002719238613</c:v>
                </c:pt>
                <c:pt idx="4">
                  <c:v>0.93507263563593235</c:v>
                </c:pt>
                <c:pt idx="5">
                  <c:v>0.92396434189826948</c:v>
                </c:pt>
                <c:pt idx="6">
                  <c:v>0.92547786111783203</c:v>
                </c:pt>
                <c:pt idx="7">
                  <c:v>0.91073421111359076</c:v>
                </c:pt>
                <c:pt idx="8">
                  <c:v>0.90646578782172005</c:v>
                </c:pt>
                <c:pt idx="9">
                  <c:v>0.90589859932925632</c:v>
                </c:pt>
                <c:pt idx="10">
                  <c:v>0.90009389671361506</c:v>
                </c:pt>
                <c:pt idx="11">
                  <c:v>0.88784216139353</c:v>
                </c:pt>
                <c:pt idx="12">
                  <c:v>0.89040395432077712</c:v>
                </c:pt>
                <c:pt idx="13">
                  <c:v>0.88477905073649754</c:v>
                </c:pt>
                <c:pt idx="14">
                  <c:v>0.88047934405550288</c:v>
                </c:pt>
                <c:pt idx="15">
                  <c:v>0.87462235649546827</c:v>
                </c:pt>
                <c:pt idx="16">
                  <c:v>0.87251053932257605</c:v>
                </c:pt>
                <c:pt idx="17">
                  <c:v>0.87128991419327617</c:v>
                </c:pt>
                <c:pt idx="18">
                  <c:v>0.86139685977260427</c:v>
                </c:pt>
                <c:pt idx="19">
                  <c:v>0.86027865404837023</c:v>
                </c:pt>
                <c:pt idx="20">
                  <c:v>0.83684158513687124</c:v>
                </c:pt>
                <c:pt idx="21">
                  <c:v>0.820627802690583</c:v>
                </c:pt>
                <c:pt idx="22">
                  <c:v>0.80593009995304221</c:v>
                </c:pt>
                <c:pt idx="23">
                  <c:v>0.79450876991860597</c:v>
                </c:pt>
                <c:pt idx="24">
                  <c:v>0.79018646722926877</c:v>
                </c:pt>
                <c:pt idx="25">
                  <c:v>0.78326499346640821</c:v>
                </c:pt>
                <c:pt idx="26">
                  <c:v>0.77491074326517362</c:v>
                </c:pt>
                <c:pt idx="27">
                  <c:v>0.77210216110019658</c:v>
                </c:pt>
                <c:pt idx="28">
                  <c:v>0.75205468930025354</c:v>
                </c:pt>
                <c:pt idx="29">
                  <c:v>0.74281251235812873</c:v>
                </c:pt>
                <c:pt idx="30">
                  <c:v>0.73177982355197546</c:v>
                </c:pt>
                <c:pt idx="31">
                  <c:v>0.72412302037727694</c:v>
                </c:pt>
                <c:pt idx="32">
                  <c:v>0.71770619518566892</c:v>
                </c:pt>
                <c:pt idx="33">
                  <c:v>0.71152362038628159</c:v>
                </c:pt>
                <c:pt idx="34">
                  <c:v>0.70686955400401597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3-7F43-8842-4CFD87BAE93B}"/>
            </c:ext>
          </c:extLst>
        </c:ser>
        <c:ser>
          <c:idx val="3"/>
          <c:order val="3"/>
          <c:tx>
            <c:strRef>
              <c:f>guadalupe16!$N$1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guadalupe16!$A$2:$A$36</c:f>
              <c:numCache>
                <c:formatCode>General</c:formatCode>
                <c:ptCount val="3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</c:numCache>
            </c:numRef>
          </c:cat>
          <c:val>
            <c:numRef>
              <c:f>guadalupe16!$N$2:$N$36</c:f>
              <c:numCache>
                <c:formatCode>0%</c:formatCode>
                <c:ptCount val="35"/>
                <c:pt idx="0">
                  <c:v>0.86411609498680741</c:v>
                </c:pt>
                <c:pt idx="1">
                  <c:v>0.71914008321775325</c:v>
                </c:pt>
                <c:pt idx="2">
                  <c:v>0.76043068640646028</c:v>
                </c:pt>
                <c:pt idx="3">
                  <c:v>0.79197824609109457</c:v>
                </c:pt>
                <c:pt idx="4">
                  <c:v>0.81589089831010964</c:v>
                </c:pt>
                <c:pt idx="5">
                  <c:v>0.84006292606187727</c:v>
                </c:pt>
                <c:pt idx="6">
                  <c:v>0.85821437212678442</c:v>
                </c:pt>
                <c:pt idx="7">
                  <c:v>0.86810979692033019</c:v>
                </c:pt>
                <c:pt idx="8">
                  <c:v>0.86001255492780926</c:v>
                </c:pt>
                <c:pt idx="9">
                  <c:v>0.86506214243440527</c:v>
                </c:pt>
                <c:pt idx="10">
                  <c:v>0.86197183098591545</c:v>
                </c:pt>
                <c:pt idx="11">
                  <c:v>0.85815854959118376</c:v>
                </c:pt>
                <c:pt idx="12">
                  <c:v>0.86040565876938802</c:v>
                </c:pt>
                <c:pt idx="13">
                  <c:v>0.85564648117839603</c:v>
                </c:pt>
                <c:pt idx="14">
                  <c:v>0.85588142541784917</c:v>
                </c:pt>
                <c:pt idx="15">
                  <c:v>0.85226586102719037</c:v>
                </c:pt>
                <c:pt idx="16">
                  <c:v>0.84648931530745741</c:v>
                </c:pt>
                <c:pt idx="17">
                  <c:v>0.85061190040793366</c:v>
                </c:pt>
                <c:pt idx="18">
                  <c:v>0.84095831077422845</c:v>
                </c:pt>
                <c:pt idx="19">
                  <c:v>0.84384858044164046</c:v>
                </c:pt>
                <c:pt idx="20">
                  <c:v>0.82231445795039038</c:v>
                </c:pt>
                <c:pt idx="21">
                  <c:v>0.8087764253683537</c:v>
                </c:pt>
                <c:pt idx="22">
                  <c:v>0.79821560340779507</c:v>
                </c:pt>
                <c:pt idx="23">
                  <c:v>0.78757308265504988</c:v>
                </c:pt>
                <c:pt idx="24">
                  <c:v>0.78205063419071197</c:v>
                </c:pt>
                <c:pt idx="25">
                  <c:v>0.77488397242373719</c:v>
                </c:pt>
                <c:pt idx="26">
                  <c:v>0.76967705290490096</c:v>
                </c:pt>
                <c:pt idx="27">
                  <c:v>0.76672721206954075</c:v>
                </c:pt>
                <c:pt idx="28">
                  <c:v>0.74823975215710381</c:v>
                </c:pt>
                <c:pt idx="29">
                  <c:v>0.73966860442124416</c:v>
                </c:pt>
                <c:pt idx="30">
                  <c:v>0.72957422324510934</c:v>
                </c:pt>
                <c:pt idx="31">
                  <c:v>0.72308253607913098</c:v>
                </c:pt>
                <c:pt idx="32">
                  <c:v>0.71575853704049264</c:v>
                </c:pt>
                <c:pt idx="33">
                  <c:v>0.7103917351800213</c:v>
                </c:pt>
                <c:pt idx="34">
                  <c:v>0.70622478492345664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93-7F43-8842-4CFD87BAE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pauli strings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aseline="0"/>
              <a:t>Guadalupe-16 (cnot depth relative to </a:t>
            </a:r>
            <a:r>
              <a:rPr lang="en-US" sz="2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lexicographical ordering</a:t>
            </a:r>
            <a:r>
              <a:rPr lang="en-US" sz="2400" baseline="0"/>
              <a:t> without mapping, 200 samples)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'guadalupe depth'!$K$1</c:f>
              <c:strCache>
                <c:ptCount val="1"/>
                <c:pt idx="0">
                  <c:v>lexicographical ordering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'guadalupe depth'!$A$2:$A$33</c:f>
              <c:numCache>
                <c:formatCode>General</c:formatCode>
                <c:ptCount val="3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</c:numCache>
            </c:numRef>
          </c:cat>
          <c:val>
            <c:numRef>
              <c:f>'guadalupe depth'!$K$2:$K$33</c:f>
              <c:numCache>
                <c:formatCode>General</c:formatCode>
                <c:ptCount val="3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20-DC48-9B62-04527295919B}"/>
            </c:ext>
          </c:extLst>
        </c:ser>
        <c:ser>
          <c:idx val="1"/>
          <c:order val="1"/>
          <c:tx>
            <c:strRef>
              <c:f>'guadalupe depth'!$L$1</c:f>
              <c:strCache>
                <c:ptCount val="1"/>
                <c:pt idx="0">
                  <c:v>lo + mapping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'guadalupe depth'!$A$2:$A$33</c:f>
              <c:numCache>
                <c:formatCode>General</c:formatCode>
                <c:ptCount val="3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</c:numCache>
            </c:numRef>
          </c:cat>
          <c:val>
            <c:numRef>
              <c:f>'guadalupe depth'!$L$2:$L$33</c:f>
              <c:numCache>
                <c:formatCode>0%</c:formatCode>
                <c:ptCount val="32"/>
                <c:pt idx="0">
                  <c:v>0.95215311004784686</c:v>
                </c:pt>
                <c:pt idx="1">
                  <c:v>0.93023255813953498</c:v>
                </c:pt>
                <c:pt idx="2">
                  <c:v>0.93119698397737982</c:v>
                </c:pt>
                <c:pt idx="3">
                  <c:v>0.95751138088012133</c:v>
                </c:pt>
                <c:pt idx="4">
                  <c:v>0.99380591878871294</c:v>
                </c:pt>
                <c:pt idx="5">
                  <c:v>1.0094043887147335</c:v>
                </c:pt>
                <c:pt idx="6">
                  <c:v>1.0041518386714117</c:v>
                </c:pt>
                <c:pt idx="7">
                  <c:v>1.0071902654867255</c:v>
                </c:pt>
                <c:pt idx="8">
                  <c:v>0.99631966351209256</c:v>
                </c:pt>
                <c:pt idx="9">
                  <c:v>1.0035587188612101</c:v>
                </c:pt>
                <c:pt idx="10">
                  <c:v>1.0054027504911591</c:v>
                </c:pt>
                <c:pt idx="11">
                  <c:v>1.0136534839924671</c:v>
                </c:pt>
                <c:pt idx="12">
                  <c:v>1.0206422018348624</c:v>
                </c:pt>
                <c:pt idx="13">
                  <c:v>1.0182222222222221</c:v>
                </c:pt>
                <c:pt idx="14">
                  <c:v>1.0189084658358403</c:v>
                </c:pt>
                <c:pt idx="15">
                  <c:v>1.0103177878662815</c:v>
                </c:pt>
                <c:pt idx="16">
                  <c:v>1.0137373737373738</c:v>
                </c:pt>
                <c:pt idx="17">
                  <c:v>1.015228426395939</c:v>
                </c:pt>
                <c:pt idx="18">
                  <c:v>1.013287775246773</c:v>
                </c:pt>
                <c:pt idx="19">
                  <c:v>1.0214814814814814</c:v>
                </c:pt>
                <c:pt idx="20">
                  <c:v>1.0216121495327104</c:v>
                </c:pt>
                <c:pt idx="21">
                  <c:v>1.0319590143937547</c:v>
                </c:pt>
                <c:pt idx="22">
                  <c:v>1.0237648530331458</c:v>
                </c:pt>
                <c:pt idx="23">
                  <c:v>1.0130357142857143</c:v>
                </c:pt>
                <c:pt idx="24">
                  <c:v>1.0242424242424244</c:v>
                </c:pt>
                <c:pt idx="25">
                  <c:v>0.99914809030242813</c:v>
                </c:pt>
                <c:pt idx="26">
                  <c:v>1.0237597911227154</c:v>
                </c:pt>
                <c:pt idx="27">
                  <c:v>1.0247726184777404</c:v>
                </c:pt>
                <c:pt idx="28">
                  <c:v>1.0217990478576799</c:v>
                </c:pt>
                <c:pt idx="29">
                  <c:v>1.0213896810993</c:v>
                </c:pt>
                <c:pt idx="30">
                  <c:v>1.0274990709773317</c:v>
                </c:pt>
                <c:pt idx="31">
                  <c:v>1.0343048515568429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20-DC48-9B62-04527295919B}"/>
            </c:ext>
          </c:extLst>
        </c:ser>
        <c:ser>
          <c:idx val="2"/>
          <c:order val="2"/>
          <c:tx>
            <c:strRef>
              <c:f>'guadalupe depth'!$M$1</c:f>
              <c:strCache>
                <c:ptCount val="1"/>
                <c:pt idx="0">
                  <c:v>dynamic ordering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'guadalupe depth'!$A$2:$A$33</c:f>
              <c:numCache>
                <c:formatCode>General</c:formatCode>
                <c:ptCount val="3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</c:numCache>
            </c:numRef>
          </c:cat>
          <c:val>
            <c:numRef>
              <c:f>'guadalupe depth'!$M$2:$M$33</c:f>
              <c:numCache>
                <c:formatCode>0%</c:formatCode>
                <c:ptCount val="32"/>
                <c:pt idx="0">
                  <c:v>1.3995215311004785</c:v>
                </c:pt>
                <c:pt idx="1">
                  <c:v>1.1887824897400823</c:v>
                </c:pt>
                <c:pt idx="2">
                  <c:v>1.106503298774741</c:v>
                </c:pt>
                <c:pt idx="3">
                  <c:v>1.0758725341426403</c:v>
                </c:pt>
                <c:pt idx="4">
                  <c:v>1.0991052993805916</c:v>
                </c:pt>
                <c:pt idx="5">
                  <c:v>1.1040752351097178</c:v>
                </c:pt>
                <c:pt idx="6">
                  <c:v>1.1233689205219455</c:v>
                </c:pt>
                <c:pt idx="7">
                  <c:v>1.1161504424778761</c:v>
                </c:pt>
                <c:pt idx="8">
                  <c:v>1.1309148264984228</c:v>
                </c:pt>
                <c:pt idx="9">
                  <c:v>1.1535332994407728</c:v>
                </c:pt>
                <c:pt idx="10">
                  <c:v>1.1669941060903732</c:v>
                </c:pt>
                <c:pt idx="11">
                  <c:v>1.1685499058380413</c:v>
                </c:pt>
                <c:pt idx="12">
                  <c:v>1.201834862385321</c:v>
                </c:pt>
                <c:pt idx="13">
                  <c:v>1.1955555555555555</c:v>
                </c:pt>
                <c:pt idx="14">
                  <c:v>1.2006875805758488</c:v>
                </c:pt>
                <c:pt idx="15">
                  <c:v>1.1981015270326043</c:v>
                </c:pt>
                <c:pt idx="16">
                  <c:v>1.2206060606060607</c:v>
                </c:pt>
                <c:pt idx="17">
                  <c:v>1.217883639203436</c:v>
                </c:pt>
                <c:pt idx="18">
                  <c:v>1.2080485952923312</c:v>
                </c:pt>
                <c:pt idx="19">
                  <c:v>1.2214814814814816</c:v>
                </c:pt>
                <c:pt idx="20">
                  <c:v>1.2552570093457944</c:v>
                </c:pt>
                <c:pt idx="21">
                  <c:v>1.2847035862405467</c:v>
                </c:pt>
                <c:pt idx="22">
                  <c:v>1.2905982905982907</c:v>
                </c:pt>
                <c:pt idx="23">
                  <c:v>1.2883928571428571</c:v>
                </c:pt>
                <c:pt idx="24">
                  <c:v>1.2972886762360447</c:v>
                </c:pt>
                <c:pt idx="25">
                  <c:v>1.2937668607127646</c:v>
                </c:pt>
                <c:pt idx="26">
                  <c:v>1.3113577023498695</c:v>
                </c:pt>
                <c:pt idx="27">
                  <c:v>1.3076831019626616</c:v>
                </c:pt>
                <c:pt idx="28">
                  <c:v>1.2992566608201788</c:v>
                </c:pt>
                <c:pt idx="29">
                  <c:v>1.2980943738656987</c:v>
                </c:pt>
                <c:pt idx="30">
                  <c:v>1.2979773849339067</c:v>
                </c:pt>
                <c:pt idx="31">
                  <c:v>1.3015930485155685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20-DC48-9B62-04527295919B}"/>
            </c:ext>
          </c:extLst>
        </c:ser>
        <c:ser>
          <c:idx val="3"/>
          <c:order val="3"/>
          <c:tx>
            <c:strRef>
              <c:f>'guadalupe depth'!$N$1</c:f>
              <c:strCache>
                <c:ptCount val="1"/>
                <c:pt idx="0">
                  <c:v>do + mapping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'guadalupe depth'!$A$2:$A$33</c:f>
              <c:numCache>
                <c:formatCode>General</c:formatCode>
                <c:ptCount val="3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</c:numCache>
            </c:numRef>
          </c:cat>
          <c:val>
            <c:numRef>
              <c:f>'guadalupe depth'!$N$2:$N$33</c:f>
              <c:numCache>
                <c:formatCode>0%</c:formatCode>
                <c:ptCount val="32"/>
                <c:pt idx="0">
                  <c:v>0.98803827751196172</c:v>
                </c:pt>
                <c:pt idx="1">
                  <c:v>0.86456908344733252</c:v>
                </c:pt>
                <c:pt idx="2">
                  <c:v>0.88595664467483515</c:v>
                </c:pt>
                <c:pt idx="3">
                  <c:v>0.93626707132018205</c:v>
                </c:pt>
                <c:pt idx="4">
                  <c:v>0.98830006882312449</c:v>
                </c:pt>
                <c:pt idx="5">
                  <c:v>1.0163009404388714</c:v>
                </c:pt>
                <c:pt idx="6">
                  <c:v>1.0545670225385528</c:v>
                </c:pt>
                <c:pt idx="7">
                  <c:v>1.0713495575221237</c:v>
                </c:pt>
                <c:pt idx="8">
                  <c:v>1.0799158780231337</c:v>
                </c:pt>
                <c:pt idx="9">
                  <c:v>1.1026944585663447</c:v>
                </c:pt>
                <c:pt idx="10">
                  <c:v>1.1154223968565815</c:v>
                </c:pt>
                <c:pt idx="11">
                  <c:v>1.1290018832391715</c:v>
                </c:pt>
                <c:pt idx="12">
                  <c:v>1.1591743119266054</c:v>
                </c:pt>
                <c:pt idx="13">
                  <c:v>1.1680000000000001</c:v>
                </c:pt>
                <c:pt idx="14">
                  <c:v>1.1572840567253977</c:v>
                </c:pt>
                <c:pt idx="15">
                  <c:v>1.1597193561700372</c:v>
                </c:pt>
                <c:pt idx="16">
                  <c:v>1.1753535353535354</c:v>
                </c:pt>
                <c:pt idx="17">
                  <c:v>1.1831315892229597</c:v>
                </c:pt>
                <c:pt idx="18">
                  <c:v>1.1829916476841309</c:v>
                </c:pt>
                <c:pt idx="19">
                  <c:v>1.2</c:v>
                </c:pt>
                <c:pt idx="20">
                  <c:v>1.2345210280373833</c:v>
                </c:pt>
                <c:pt idx="21">
                  <c:v>1.2700658697243232</c:v>
                </c:pt>
                <c:pt idx="22">
                  <c:v>1.2772566187200334</c:v>
                </c:pt>
                <c:pt idx="23">
                  <c:v>1.2725</c:v>
                </c:pt>
                <c:pt idx="24">
                  <c:v>1.2861244019138756</c:v>
                </c:pt>
                <c:pt idx="25">
                  <c:v>1.2790004259548489</c:v>
                </c:pt>
                <c:pt idx="26">
                  <c:v>1.301827676240209</c:v>
                </c:pt>
                <c:pt idx="27">
                  <c:v>1.3032551460028721</c:v>
                </c:pt>
                <c:pt idx="28">
                  <c:v>1.2949970767560344</c:v>
                </c:pt>
                <c:pt idx="29">
                  <c:v>1.2920015556131708</c:v>
                </c:pt>
                <c:pt idx="30">
                  <c:v>1.291129160694378</c:v>
                </c:pt>
                <c:pt idx="31">
                  <c:v>1.2998732802317161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20-DC48-9B62-045272959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1835520"/>
        <c:axId val="631765744"/>
      </c:lineChart>
      <c:catAx>
        <c:axId val="63183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aseline="0"/>
                  <a:t>pauli strings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765744"/>
        <c:crosses val="autoZero"/>
        <c:auto val="1"/>
        <c:lblAlgn val="ctr"/>
        <c:lblOffset val="100"/>
        <c:noMultiLvlLbl val="0"/>
      </c:catAx>
      <c:valAx>
        <c:axId val="631765744"/>
        <c:scaling>
          <c:orientation val="minMax"/>
          <c:max val="1.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83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Timing compared to lexigographical</a:t>
            </a:r>
            <a:r>
              <a:rPr lang="en-US" baseline="0"/>
              <a:t> ordering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time!$B$1</c:f>
              <c:strCache>
                <c:ptCount val="1"/>
                <c:pt idx="0">
                  <c:v>line-6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time!$A$2:$A$46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time!$B$2:$B$46</c:f>
              <c:numCache>
                <c:formatCode>0%</c:formatCode>
                <c:ptCount val="45"/>
                <c:pt idx="0">
                  <c:v>2.5</c:v>
                </c:pt>
                <c:pt idx="1">
                  <c:v>1.736842105263158</c:v>
                </c:pt>
                <c:pt idx="2">
                  <c:v>1.5</c:v>
                </c:pt>
                <c:pt idx="3">
                  <c:v>1.3235294117647058</c:v>
                </c:pt>
                <c:pt idx="4">
                  <c:v>1.2439024390243902</c:v>
                </c:pt>
                <c:pt idx="5">
                  <c:v>1.1020408163265305</c:v>
                </c:pt>
                <c:pt idx="6">
                  <c:v>1.0535714285714286</c:v>
                </c:pt>
                <c:pt idx="7">
                  <c:v>1.015625</c:v>
                </c:pt>
                <c:pt idx="8">
                  <c:v>0.92207792207792205</c:v>
                </c:pt>
                <c:pt idx="9">
                  <c:v>0.91666666666666663</c:v>
                </c:pt>
                <c:pt idx="10">
                  <c:v>0.92783505154639179</c:v>
                </c:pt>
                <c:pt idx="11">
                  <c:v>0.85470085470085477</c:v>
                </c:pt>
                <c:pt idx="12">
                  <c:v>0.87857142857142867</c:v>
                </c:pt>
                <c:pt idx="13">
                  <c:v>0.85517241379310349</c:v>
                </c:pt>
                <c:pt idx="14">
                  <c:v>0.83544303797468344</c:v>
                </c:pt>
                <c:pt idx="15">
                  <c:v>0.79899497487437199</c:v>
                </c:pt>
                <c:pt idx="16">
                  <c:v>0.80327868852459028</c:v>
                </c:pt>
                <c:pt idx="17">
                  <c:v>0.75824175824175821</c:v>
                </c:pt>
                <c:pt idx="18">
                  <c:v>0.74733096085409245</c:v>
                </c:pt>
                <c:pt idx="19">
                  <c:v>0.7432432432432432</c:v>
                </c:pt>
                <c:pt idx="20">
                  <c:v>0.67621145374449343</c:v>
                </c:pt>
                <c:pt idx="21">
                  <c:v>0.61271676300578026</c:v>
                </c:pt>
                <c:pt idx="22">
                  <c:v>0.59046587215601298</c:v>
                </c:pt>
                <c:pt idx="23">
                  <c:v>0.56130108423686398</c:v>
                </c:pt>
                <c:pt idx="24">
                  <c:v>0.53506620892594403</c:v>
                </c:pt>
                <c:pt idx="25">
                  <c:v>0.51824431517715497</c:v>
                </c:pt>
                <c:pt idx="26">
                  <c:v>0.49758454106280192</c:v>
                </c:pt>
                <c:pt idx="27">
                  <c:v>0.48476257973068754</c:v>
                </c:pt>
                <c:pt idx="28">
                  <c:v>0.42991936867387204</c:v>
                </c:pt>
                <c:pt idx="29">
                  <c:v>0.38625670204617574</c:v>
                </c:pt>
                <c:pt idx="30">
                  <c:v>0.3572403822986106</c:v>
                </c:pt>
                <c:pt idx="31">
                  <c:v>0.3376307034220532</c:v>
                </c:pt>
                <c:pt idx="32">
                  <c:v>0.31706750858946975</c:v>
                </c:pt>
                <c:pt idx="33">
                  <c:v>0.29839948128178001</c:v>
                </c:pt>
                <c:pt idx="34">
                  <c:v>0.28536254737599248</c:v>
                </c:pt>
                <c:pt idx="35">
                  <c:v>0.27427818258685438</c:v>
                </c:pt>
                <c:pt idx="36">
                  <c:v>0.26047296471106107</c:v>
                </c:pt>
                <c:pt idx="37">
                  <c:v>0.25179586482603533</c:v>
                </c:pt>
                <c:pt idx="38">
                  <c:v>0.24467687074829933</c:v>
                </c:pt>
                <c:pt idx="39">
                  <c:v>0.23727919852359608</c:v>
                </c:pt>
                <c:pt idx="40">
                  <c:v>0.23019002734305227</c:v>
                </c:pt>
                <c:pt idx="43">
                  <c:v>0.21461160562284157</c:v>
                </c:pt>
                <c:pt idx="44">
                  <c:v>0.20966088777146061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2-0D44-89BB-2A876EE92E69}"/>
            </c:ext>
          </c:extLst>
        </c:ser>
        <c:ser>
          <c:idx val="2"/>
          <c:order val="1"/>
          <c:tx>
            <c:strRef>
              <c:f>time!$C$1</c:f>
              <c:strCache>
                <c:ptCount val="1"/>
                <c:pt idx="0">
                  <c:v>quito-5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time!$A$2:$A$46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time!$C$2:$C$46</c:f>
              <c:numCache>
                <c:formatCode>0%</c:formatCode>
                <c:ptCount val="45"/>
                <c:pt idx="0">
                  <c:v>2.3333333333333335</c:v>
                </c:pt>
                <c:pt idx="1">
                  <c:v>2.1333333333333333</c:v>
                </c:pt>
                <c:pt idx="2">
                  <c:v>1.8</c:v>
                </c:pt>
                <c:pt idx="3">
                  <c:v>1.6666666666666665</c:v>
                </c:pt>
                <c:pt idx="4">
                  <c:v>1.4374999999999998</c:v>
                </c:pt>
                <c:pt idx="5">
                  <c:v>1.325</c:v>
                </c:pt>
                <c:pt idx="6">
                  <c:v>1.24</c:v>
                </c:pt>
                <c:pt idx="7">
                  <c:v>1.1538461538461537</c:v>
                </c:pt>
                <c:pt idx="8">
                  <c:v>1.1724137931034482</c:v>
                </c:pt>
                <c:pt idx="9">
                  <c:v>1.0634920634920635</c:v>
                </c:pt>
                <c:pt idx="10">
                  <c:v>1.0144927536231882</c:v>
                </c:pt>
                <c:pt idx="11">
                  <c:v>1.0370370370370372</c:v>
                </c:pt>
                <c:pt idx="12">
                  <c:v>0.95959595959595956</c:v>
                </c:pt>
                <c:pt idx="13">
                  <c:v>0.94736842105263164</c:v>
                </c:pt>
                <c:pt idx="14">
                  <c:v>0.93661971830985924</c:v>
                </c:pt>
                <c:pt idx="15">
                  <c:v>0.91549295774647887</c:v>
                </c:pt>
                <c:pt idx="16">
                  <c:v>0.87179487179487181</c:v>
                </c:pt>
                <c:pt idx="17">
                  <c:v>0.87421383647798745</c:v>
                </c:pt>
                <c:pt idx="18">
                  <c:v>0.86309523809523803</c:v>
                </c:pt>
                <c:pt idx="19">
                  <c:v>0.82584269662921339</c:v>
                </c:pt>
                <c:pt idx="20">
                  <c:v>0.74329501915708807</c:v>
                </c:pt>
                <c:pt idx="21">
                  <c:v>0.69761273209549068</c:v>
                </c:pt>
                <c:pt idx="22">
                  <c:v>0.64187866927592951</c:v>
                </c:pt>
                <c:pt idx="23">
                  <c:v>0.61310452418096728</c:v>
                </c:pt>
                <c:pt idx="24">
                  <c:v>0.59411011523687585</c:v>
                </c:pt>
                <c:pt idx="25">
                  <c:v>0.54211663066954641</c:v>
                </c:pt>
                <c:pt idx="26">
                  <c:v>0.54637436762225966</c:v>
                </c:pt>
                <c:pt idx="27">
                  <c:v>0.53048297703879654</c:v>
                </c:pt>
                <c:pt idx="28">
                  <c:v>0.48534635879218474</c:v>
                </c:pt>
                <c:pt idx="29">
                  <c:v>0.45255474452554745</c:v>
                </c:pt>
                <c:pt idx="30">
                  <c:v>0.43067484662576688</c:v>
                </c:pt>
                <c:pt idx="31">
                  <c:v>0.40670721683379918</c:v>
                </c:pt>
                <c:pt idx="32">
                  <c:v>0.39116125999059709</c:v>
                </c:pt>
                <c:pt idx="33">
                  <c:v>0.37948512738428702</c:v>
                </c:pt>
                <c:pt idx="34">
                  <c:v>0.36676182201812085</c:v>
                </c:pt>
                <c:pt idx="35">
                  <c:v>0.35405657444824368</c:v>
                </c:pt>
                <c:pt idx="36">
                  <c:v>0.34936759286923613</c:v>
                </c:pt>
                <c:pt idx="37">
                  <c:v>0.34108729743857819</c:v>
                </c:pt>
                <c:pt idx="38">
                  <c:v>0.33322784810126582</c:v>
                </c:pt>
                <c:pt idx="39">
                  <c:v>0.33004791238877479</c:v>
                </c:pt>
                <c:pt idx="40">
                  <c:v>0.32086687306501549</c:v>
                </c:pt>
                <c:pt idx="41">
                  <c:v>0.31543921916592726</c:v>
                </c:pt>
                <c:pt idx="42">
                  <c:v>0.3135810926528515</c:v>
                </c:pt>
                <c:pt idx="43">
                  <c:v>0.30778420523138833</c:v>
                </c:pt>
                <c:pt idx="44">
                  <c:v>0.30111699000587894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2-0D44-89BB-2A876EE92E69}"/>
            </c:ext>
          </c:extLst>
        </c:ser>
        <c:ser>
          <c:idx val="3"/>
          <c:order val="2"/>
          <c:tx>
            <c:strRef>
              <c:f>time!$D$1</c:f>
              <c:strCache>
                <c:ptCount val="1"/>
                <c:pt idx="0">
                  <c:v>grid-9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time!$A$2:$A$46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time!$D$2:$D$46</c:f>
              <c:numCache>
                <c:formatCode>0%</c:formatCode>
                <c:ptCount val="45"/>
                <c:pt idx="0">
                  <c:v>1.2941176470588236</c:v>
                </c:pt>
                <c:pt idx="1">
                  <c:v>1.0606060606060606</c:v>
                </c:pt>
                <c:pt idx="2">
                  <c:v>1.0108695652173914</c:v>
                </c:pt>
                <c:pt idx="3">
                  <c:v>0.90566037735849059</c:v>
                </c:pt>
                <c:pt idx="4">
                  <c:v>0.87121212121212122</c:v>
                </c:pt>
                <c:pt idx="5">
                  <c:v>0.80536912751677847</c:v>
                </c:pt>
                <c:pt idx="6">
                  <c:v>0.78787878787878785</c:v>
                </c:pt>
                <c:pt idx="7">
                  <c:v>0.73134328358208944</c:v>
                </c:pt>
                <c:pt idx="8">
                  <c:v>0.73148148148148151</c:v>
                </c:pt>
                <c:pt idx="9">
                  <c:v>0.71729957805907174</c:v>
                </c:pt>
                <c:pt idx="10">
                  <c:v>0.71485943775100413</c:v>
                </c:pt>
                <c:pt idx="11">
                  <c:v>0.68953068592057765</c:v>
                </c:pt>
                <c:pt idx="12">
                  <c:v>0.65972222222222221</c:v>
                </c:pt>
                <c:pt idx="13">
                  <c:v>0.64504504504504501</c:v>
                </c:pt>
                <c:pt idx="14">
                  <c:v>0.66161616161616155</c:v>
                </c:pt>
                <c:pt idx="15">
                  <c:v>0.65897435897435896</c:v>
                </c:pt>
                <c:pt idx="16">
                  <c:v>0.63938053097345127</c:v>
                </c:pt>
                <c:pt idx="17">
                  <c:v>0.64301552106430149</c:v>
                </c:pt>
                <c:pt idx="18">
                  <c:v>0.64742268041237105</c:v>
                </c:pt>
                <c:pt idx="19">
                  <c:v>0.64426877470355737</c:v>
                </c:pt>
                <c:pt idx="20">
                  <c:v>0.60359408033826645</c:v>
                </c:pt>
                <c:pt idx="21">
                  <c:v>0.58247775496235454</c:v>
                </c:pt>
                <c:pt idx="22">
                  <c:v>0.57674199623352163</c:v>
                </c:pt>
                <c:pt idx="23">
                  <c:v>0.55918499353169471</c:v>
                </c:pt>
                <c:pt idx="24">
                  <c:v>0.54483925549915402</c:v>
                </c:pt>
                <c:pt idx="25">
                  <c:v>0.53127354935945748</c:v>
                </c:pt>
                <c:pt idx="26">
                  <c:v>0.52087336244541482</c:v>
                </c:pt>
                <c:pt idx="27">
                  <c:v>0.51155984781972497</c:v>
                </c:pt>
                <c:pt idx="28">
                  <c:v>0.4594255529877847</c:v>
                </c:pt>
                <c:pt idx="29">
                  <c:v>0.4214340899893308</c:v>
                </c:pt>
                <c:pt idx="30">
                  <c:v>0.38760746487733277</c:v>
                </c:pt>
                <c:pt idx="31">
                  <c:v>0.35851828197349517</c:v>
                </c:pt>
                <c:pt idx="32">
                  <c:v>0.33258963949136222</c:v>
                </c:pt>
                <c:pt idx="33">
                  <c:v>0.31196698762035763</c:v>
                </c:pt>
                <c:pt idx="36">
                  <c:v>0.25881910297494715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B2-0D44-89BB-2A876EE92E69}"/>
            </c:ext>
          </c:extLst>
        </c:ser>
        <c:ser>
          <c:idx val="4"/>
          <c:order val="3"/>
          <c:tx>
            <c:strRef>
              <c:f>time!$E$1</c:f>
              <c:strCache>
                <c:ptCount val="1"/>
                <c:pt idx="0">
                  <c:v>grid-16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time!$A$2:$A$46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time!$E$2:$E$46</c:f>
              <c:numCache>
                <c:formatCode>0%</c:formatCode>
                <c:ptCount val="45"/>
                <c:pt idx="0">
                  <c:v>0.78787878787878796</c:v>
                </c:pt>
                <c:pt idx="1">
                  <c:v>0.7567567567567568</c:v>
                </c:pt>
                <c:pt idx="2">
                  <c:v>0.64462809917355368</c:v>
                </c:pt>
                <c:pt idx="3">
                  <c:v>0.60897435897435903</c:v>
                </c:pt>
                <c:pt idx="4">
                  <c:v>0.56509695290858719</c:v>
                </c:pt>
                <c:pt idx="5">
                  <c:v>0.55797101449275366</c:v>
                </c:pt>
                <c:pt idx="6">
                  <c:v>0.55486542443064191</c:v>
                </c:pt>
                <c:pt idx="7">
                  <c:v>0.52602230483271384</c:v>
                </c:pt>
                <c:pt idx="8">
                  <c:v>0.5160744500846024</c:v>
                </c:pt>
                <c:pt idx="9">
                  <c:v>0.54216867469879515</c:v>
                </c:pt>
                <c:pt idx="10">
                  <c:v>0.51494565217391308</c:v>
                </c:pt>
                <c:pt idx="11">
                  <c:v>0.5216881594372802</c:v>
                </c:pt>
                <c:pt idx="12">
                  <c:v>0.51995685005393744</c:v>
                </c:pt>
                <c:pt idx="13">
                  <c:v>0.50928641251221896</c:v>
                </c:pt>
                <c:pt idx="14">
                  <c:v>0.50408719346049047</c:v>
                </c:pt>
                <c:pt idx="15">
                  <c:v>0.49956784788245456</c:v>
                </c:pt>
                <c:pt idx="16">
                  <c:v>0.51322314049586781</c:v>
                </c:pt>
                <c:pt idx="17">
                  <c:v>0.51180502665651173</c:v>
                </c:pt>
                <c:pt idx="18">
                  <c:v>0.51296829971181557</c:v>
                </c:pt>
                <c:pt idx="19">
                  <c:v>0.51184834123222744</c:v>
                </c:pt>
                <c:pt idx="20">
                  <c:v>0.52473704713673541</c:v>
                </c:pt>
                <c:pt idx="21">
                  <c:v>0.54294551510825595</c:v>
                </c:pt>
                <c:pt idx="22">
                  <c:v>0.55352257181942544</c:v>
                </c:pt>
                <c:pt idx="23">
                  <c:v>0.55544758897121349</c:v>
                </c:pt>
                <c:pt idx="28">
                  <c:v>0.53531684519815836</c:v>
                </c:pt>
                <c:pt idx="29">
                  <c:v>0.51437764606265879</c:v>
                </c:pt>
                <c:pt idx="30">
                  <c:v>0.48131612515945071</c:v>
                </c:pt>
                <c:pt idx="31">
                  <c:v>0.45146402038010164</c:v>
                </c:pt>
                <c:pt idx="32">
                  <c:v>0.42834042871013522</c:v>
                </c:pt>
                <c:pt idx="33">
                  <c:v>0.40866185738532029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B2-0D44-89BB-2A876EE92E69}"/>
            </c:ext>
          </c:extLst>
        </c:ser>
        <c:ser>
          <c:idx val="5"/>
          <c:order val="4"/>
          <c:tx>
            <c:strRef>
              <c:f>time!$F$1</c:f>
              <c:strCache>
                <c:ptCount val="1"/>
                <c:pt idx="0">
                  <c:v>guadalupe-16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time!$A$2:$A$46</c:f>
              <c:numCache>
                <c:formatCode>General</c:formatCode>
                <c:ptCount val="4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60</c:v>
                </c:pt>
                <c:pt idx="21">
                  <c:v>80</c:v>
                </c:pt>
                <c:pt idx="22">
                  <c:v>100</c:v>
                </c:pt>
                <c:pt idx="23">
                  <c:v>120</c:v>
                </c:pt>
                <c:pt idx="24">
                  <c:v>140</c:v>
                </c:pt>
                <c:pt idx="25">
                  <c:v>160</c:v>
                </c:pt>
                <c:pt idx="26">
                  <c:v>180</c:v>
                </c:pt>
                <c:pt idx="27">
                  <c:v>200</c:v>
                </c:pt>
                <c:pt idx="28">
                  <c:v>300</c:v>
                </c:pt>
                <c:pt idx="29">
                  <c:v>400</c:v>
                </c:pt>
                <c:pt idx="30">
                  <c:v>500</c:v>
                </c:pt>
                <c:pt idx="31">
                  <c:v>600</c:v>
                </c:pt>
                <c:pt idx="32">
                  <c:v>700</c:v>
                </c:pt>
                <c:pt idx="33">
                  <c:v>800</c:v>
                </c:pt>
                <c:pt idx="34">
                  <c:v>900</c:v>
                </c:pt>
                <c:pt idx="35">
                  <c:v>1000</c:v>
                </c:pt>
                <c:pt idx="36">
                  <c:v>1100</c:v>
                </c:pt>
                <c:pt idx="37">
                  <c:v>1200</c:v>
                </c:pt>
                <c:pt idx="38">
                  <c:v>1300</c:v>
                </c:pt>
                <c:pt idx="39">
                  <c:v>1400</c:v>
                </c:pt>
                <c:pt idx="40">
                  <c:v>1500</c:v>
                </c:pt>
                <c:pt idx="41">
                  <c:v>1600</c:v>
                </c:pt>
                <c:pt idx="42">
                  <c:v>1700</c:v>
                </c:pt>
                <c:pt idx="43">
                  <c:v>1800</c:v>
                </c:pt>
                <c:pt idx="44">
                  <c:v>1900</c:v>
                </c:pt>
              </c:numCache>
            </c:numRef>
          </c:cat>
          <c:val>
            <c:numRef>
              <c:f>time!$F$2:$F$46</c:f>
              <c:numCache>
                <c:formatCode>0%</c:formatCode>
                <c:ptCount val="45"/>
                <c:pt idx="0">
                  <c:v>0.8640000000000001</c:v>
                </c:pt>
                <c:pt idx="1">
                  <c:v>0.74725274725274726</c:v>
                </c:pt>
                <c:pt idx="2">
                  <c:v>0.67460317460317465</c:v>
                </c:pt>
                <c:pt idx="3">
                  <c:v>0.64353312302839116</c:v>
                </c:pt>
                <c:pt idx="4">
                  <c:v>0.60212201591511927</c:v>
                </c:pt>
                <c:pt idx="5">
                  <c:v>0.5803571428571429</c:v>
                </c:pt>
                <c:pt idx="6">
                  <c:v>0.59081836327345305</c:v>
                </c:pt>
                <c:pt idx="7">
                  <c:v>0.57913043478260862</c:v>
                </c:pt>
                <c:pt idx="8">
                  <c:v>0.57650695517774331</c:v>
                </c:pt>
                <c:pt idx="9">
                  <c:v>0.55967078189300401</c:v>
                </c:pt>
                <c:pt idx="10">
                  <c:v>0.55337423312883438</c:v>
                </c:pt>
                <c:pt idx="11">
                  <c:v>0.55239179954441919</c:v>
                </c:pt>
                <c:pt idx="12">
                  <c:v>0.55233160621761657</c:v>
                </c:pt>
                <c:pt idx="13">
                  <c:v>0.53700189753320682</c:v>
                </c:pt>
                <c:pt idx="14">
                  <c:v>0.54363001745200701</c:v>
                </c:pt>
                <c:pt idx="15">
                  <c:v>0.54340836012861726</c:v>
                </c:pt>
                <c:pt idx="16">
                  <c:v>0.5462610899873257</c:v>
                </c:pt>
                <c:pt idx="17">
                  <c:v>0.54209183673469385</c:v>
                </c:pt>
                <c:pt idx="18">
                  <c:v>0.54435994930291509</c:v>
                </c:pt>
                <c:pt idx="19">
                  <c:v>0.55124317768344455</c:v>
                </c:pt>
                <c:pt idx="20">
                  <c:v>0.55909389363099149</c:v>
                </c:pt>
                <c:pt idx="21">
                  <c:v>0.56645218548923904</c:v>
                </c:pt>
                <c:pt idx="22">
                  <c:v>0.56682027649769584</c:v>
                </c:pt>
                <c:pt idx="23">
                  <c:v>0.57485936823885764</c:v>
                </c:pt>
                <c:pt idx="24">
                  <c:v>0.57084563292238233</c:v>
                </c:pt>
                <c:pt idx="25">
                  <c:v>0.56874999999999998</c:v>
                </c:pt>
                <c:pt idx="26">
                  <c:v>0.5660663918420481</c:v>
                </c:pt>
                <c:pt idx="27">
                  <c:v>0.56240763133145233</c:v>
                </c:pt>
                <c:pt idx="28">
                  <c:v>0.53698829260627012</c:v>
                </c:pt>
                <c:pt idx="31">
                  <c:v>0.45182562722745406</c:v>
                </c:pt>
                <c:pt idx="32">
                  <c:v>0.37701705374640371</c:v>
                </c:pt>
                <c:pt idx="33">
                  <c:v>0.40040707695300909</c:v>
                </c:pt>
                <c:pt idx="34">
                  <c:v>0.37761479638239509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DB2-0D44-89BB-2A876EE92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494911"/>
        <c:axId val="2030489535"/>
      </c:lineChart>
      <c:catAx>
        <c:axId val="20304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89535"/>
        <c:crosses val="autoZero"/>
        <c:auto val="1"/>
        <c:lblAlgn val="ctr"/>
        <c:lblOffset val="100"/>
        <c:noMultiLvlLbl val="0"/>
      </c:catAx>
      <c:valAx>
        <c:axId val="203048953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49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508000</xdr:colOff>
      <xdr:row>4</xdr:row>
      <xdr:rowOff>38100</xdr:rowOff>
    </xdr:from>
    <xdr:to>
      <xdr:col>19</xdr:col>
      <xdr:colOff>495300</xdr:colOff>
      <xdr:row>32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591B87-4DFA-D7AF-9432-244B1870F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8</xdr:row>
      <xdr:rowOff>114300</xdr:rowOff>
    </xdr:from>
    <xdr:to>
      <xdr:col>20</xdr:col>
      <xdr:colOff>12700</xdr:colOff>
      <xdr:row>37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67871-DDAF-D348-B1A1-08F74A7BE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812800</xdr:colOff>
      <xdr:row>5</xdr:row>
      <xdr:rowOff>114300</xdr:rowOff>
    </xdr:from>
    <xdr:to>
      <xdr:col>20</xdr:col>
      <xdr:colOff>800100</xdr:colOff>
      <xdr:row>34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37AE4-E1B9-5D48-8015-86E5FFDCF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584200</xdr:colOff>
      <xdr:row>5</xdr:row>
      <xdr:rowOff>190500</xdr:rowOff>
    </xdr:from>
    <xdr:to>
      <xdr:col>20</xdr:col>
      <xdr:colOff>571500</xdr:colOff>
      <xdr:row>34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B5379-7FD6-E745-A953-4E2855D98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101600</xdr:colOff>
      <xdr:row>6</xdr:row>
      <xdr:rowOff>165100</xdr:rowOff>
    </xdr:from>
    <xdr:to>
      <xdr:col>21</xdr:col>
      <xdr:colOff>88900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18264-29CF-184E-B8F4-0121697A0B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508000</xdr:colOff>
      <xdr:row>5</xdr:row>
      <xdr:rowOff>63500</xdr:rowOff>
    </xdr:from>
    <xdr:to>
      <xdr:col>20</xdr:col>
      <xdr:colOff>495300</xdr:colOff>
      <xdr:row>33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3301A6-7832-B860-760E-0BC82F441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101600</xdr:colOff>
      <xdr:row>6</xdr:row>
      <xdr:rowOff>165100</xdr:rowOff>
    </xdr:from>
    <xdr:to>
      <xdr:col>21</xdr:col>
      <xdr:colOff>88900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104CC3-9E85-6F41-A93B-177B91B13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508000</xdr:colOff>
      <xdr:row>5</xdr:row>
      <xdr:rowOff>63500</xdr:rowOff>
    </xdr:from>
    <xdr:to>
      <xdr:col>20</xdr:col>
      <xdr:colOff>495300</xdr:colOff>
      <xdr:row>33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C8A7B-5B62-8442-8DD6-349BFEACE3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774700</xdr:colOff>
      <xdr:row>1</xdr:row>
      <xdr:rowOff>63500</xdr:rowOff>
    </xdr:from>
    <xdr:to>
      <xdr:col>19</xdr:col>
      <xdr:colOff>762000</xdr:colOff>
      <xdr:row>29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9C460-6B38-D647-994F-56735FBA5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4</xdr:row>
      <xdr:rowOff>50800</xdr:rowOff>
    </xdr:from>
    <xdr:to>
      <xdr:col>21</xdr:col>
      <xdr:colOff>482600</xdr:colOff>
      <xdr:row>32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D152F2-9FD2-434C-8980-2FD8CF774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432741</xdr:colOff>
      <xdr:row>8</xdr:row>
      <xdr:rowOff>94073</xdr:rowOff>
    </xdr:from>
    <xdr:to>
      <xdr:col>13</xdr:col>
      <xdr:colOff>244593</xdr:colOff>
      <xdr:row>25</xdr:row>
      <xdr:rowOff>7526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66983E-735D-AF9B-651B-AF3283F17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ACF18-5131-0846-91EB-6262D6E37819}">
  <dimension ref="A1:N55"/>
  <sheetViews>
    <sheetView workbookViewId="0">
      <selection sqref="A1:A4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17</v>
      </c>
      <c r="C2">
        <v>1.4</v>
      </c>
      <c r="D2">
        <v>12.5</v>
      </c>
      <c r="E2">
        <v>1.2</v>
      </c>
      <c r="F2">
        <v>16.7</v>
      </c>
      <c r="G2">
        <v>3</v>
      </c>
      <c r="H2">
        <v>11.1</v>
      </c>
      <c r="I2">
        <v>3</v>
      </c>
      <c r="J2" s="1">
        <f t="shared" ref="J2:J46" si="0">I2/E2</f>
        <v>2.5</v>
      </c>
      <c r="K2">
        <v>1</v>
      </c>
      <c r="L2" s="1">
        <f t="shared" ref="L2:L29" si="1">D2/B2</f>
        <v>0.73529411764705888</v>
      </c>
      <c r="M2" s="1">
        <f t="shared" ref="M2:M29" si="2">F2/B2</f>
        <v>0.98235294117647054</v>
      </c>
      <c r="N2" s="1">
        <f t="shared" ref="N2:N29" si="3">H2/B2</f>
        <v>0.65294117647058825</v>
      </c>
    </row>
    <row r="3" spans="1:14" x14ac:dyDescent="0.2">
      <c r="A3">
        <v>4</v>
      </c>
      <c r="B3">
        <v>27.6</v>
      </c>
      <c r="C3">
        <v>2.1</v>
      </c>
      <c r="D3">
        <v>23</v>
      </c>
      <c r="E3">
        <v>1.9</v>
      </c>
      <c r="F3">
        <v>24.8</v>
      </c>
      <c r="G3">
        <v>3.6</v>
      </c>
      <c r="H3">
        <v>19.600000000000001</v>
      </c>
      <c r="I3">
        <v>3.3</v>
      </c>
      <c r="J3" s="1">
        <f t="shared" si="0"/>
        <v>1.736842105263158</v>
      </c>
      <c r="K3">
        <v>1</v>
      </c>
      <c r="L3" s="1">
        <f t="shared" si="1"/>
        <v>0.83333333333333326</v>
      </c>
      <c r="M3" s="1">
        <f t="shared" si="2"/>
        <v>0.89855072463768115</v>
      </c>
      <c r="N3" s="1">
        <f t="shared" si="3"/>
        <v>0.71014492753623193</v>
      </c>
    </row>
    <row r="4" spans="1:14" x14ac:dyDescent="0.2">
      <c r="A4">
        <v>6</v>
      </c>
      <c r="B4">
        <v>37.700000000000003</v>
      </c>
      <c r="C4">
        <v>3.1</v>
      </c>
      <c r="D4">
        <v>32.799999999999997</v>
      </c>
      <c r="E4">
        <v>2.6</v>
      </c>
      <c r="F4">
        <v>32</v>
      </c>
      <c r="G4">
        <v>4.0999999999999996</v>
      </c>
      <c r="H4">
        <v>26.8</v>
      </c>
      <c r="I4">
        <v>3.9</v>
      </c>
      <c r="J4" s="1">
        <f t="shared" si="0"/>
        <v>1.5</v>
      </c>
      <c r="K4">
        <v>1</v>
      </c>
      <c r="L4" s="1">
        <f t="shared" si="1"/>
        <v>0.87002652519893886</v>
      </c>
      <c r="M4" s="1">
        <f t="shared" si="2"/>
        <v>0.84880636604774529</v>
      </c>
      <c r="N4" s="1">
        <f t="shared" si="3"/>
        <v>0.71087533156498672</v>
      </c>
    </row>
    <row r="5" spans="1:14" x14ac:dyDescent="0.2">
      <c r="A5">
        <v>8</v>
      </c>
      <c r="B5">
        <v>48.2</v>
      </c>
      <c r="C5">
        <v>3.9</v>
      </c>
      <c r="D5">
        <v>42.2</v>
      </c>
      <c r="E5">
        <v>3.4</v>
      </c>
      <c r="F5">
        <v>40.299999999999997</v>
      </c>
      <c r="G5">
        <v>4.8</v>
      </c>
      <c r="H5">
        <v>34.799999999999997</v>
      </c>
      <c r="I5">
        <v>4.5</v>
      </c>
      <c r="J5" s="1">
        <f t="shared" si="0"/>
        <v>1.3235294117647058</v>
      </c>
      <c r="K5">
        <v>1</v>
      </c>
      <c r="L5" s="1">
        <f t="shared" si="1"/>
        <v>0.87551867219917012</v>
      </c>
      <c r="M5" s="1">
        <f t="shared" si="2"/>
        <v>0.83609958506224058</v>
      </c>
      <c r="N5" s="1">
        <f t="shared" si="3"/>
        <v>0.72199170124481316</v>
      </c>
    </row>
    <row r="6" spans="1:14" x14ac:dyDescent="0.2">
      <c r="A6">
        <v>10</v>
      </c>
      <c r="B6">
        <v>55</v>
      </c>
      <c r="C6">
        <v>4.4000000000000004</v>
      </c>
      <c r="D6">
        <v>49.5</v>
      </c>
      <c r="E6">
        <v>4.0999999999999996</v>
      </c>
      <c r="F6">
        <v>44.8</v>
      </c>
      <c r="G6">
        <v>5.2</v>
      </c>
      <c r="H6">
        <v>40.6</v>
      </c>
      <c r="I6">
        <v>5.0999999999999996</v>
      </c>
      <c r="J6" s="1">
        <f t="shared" si="0"/>
        <v>1.2439024390243902</v>
      </c>
      <c r="K6">
        <v>1</v>
      </c>
      <c r="L6" s="1">
        <f t="shared" si="1"/>
        <v>0.9</v>
      </c>
      <c r="M6" s="1">
        <f t="shared" si="2"/>
        <v>0.81454545454545446</v>
      </c>
      <c r="N6" s="1">
        <f t="shared" si="3"/>
        <v>0.73818181818181816</v>
      </c>
    </row>
    <row r="7" spans="1:14" x14ac:dyDescent="0.2">
      <c r="A7">
        <v>12</v>
      </c>
      <c r="B7">
        <v>62.1</v>
      </c>
      <c r="C7">
        <v>5.0999999999999996</v>
      </c>
      <c r="D7">
        <v>57.7</v>
      </c>
      <c r="E7">
        <v>4.9000000000000004</v>
      </c>
      <c r="F7">
        <v>49.5</v>
      </c>
      <c r="G7">
        <v>5.8</v>
      </c>
      <c r="H7">
        <v>45.8</v>
      </c>
      <c r="I7">
        <v>5.4</v>
      </c>
      <c r="J7" s="1">
        <f t="shared" si="0"/>
        <v>1.1020408163265305</v>
      </c>
      <c r="K7">
        <v>1</v>
      </c>
      <c r="L7" s="1">
        <f t="shared" si="1"/>
        <v>0.92914653784219003</v>
      </c>
      <c r="M7" s="1">
        <f t="shared" si="2"/>
        <v>0.79710144927536231</v>
      </c>
      <c r="N7" s="1">
        <f t="shared" si="3"/>
        <v>0.7375201288244766</v>
      </c>
    </row>
    <row r="8" spans="1:14" x14ac:dyDescent="0.2">
      <c r="A8">
        <v>14</v>
      </c>
      <c r="B8">
        <v>69.099999999999994</v>
      </c>
      <c r="C8">
        <v>6</v>
      </c>
      <c r="D8">
        <v>64.3</v>
      </c>
      <c r="E8">
        <v>5.6</v>
      </c>
      <c r="F8">
        <v>54.6</v>
      </c>
      <c r="G8">
        <v>6.4</v>
      </c>
      <c r="H8">
        <v>50.9</v>
      </c>
      <c r="I8">
        <v>5.9</v>
      </c>
      <c r="J8" s="1">
        <f t="shared" si="0"/>
        <v>1.0535714285714286</v>
      </c>
      <c r="K8">
        <v>1</v>
      </c>
      <c r="L8" s="1">
        <f t="shared" si="1"/>
        <v>0.93053545586107089</v>
      </c>
      <c r="M8" s="1">
        <f t="shared" si="2"/>
        <v>0.7901591895803185</v>
      </c>
      <c r="N8" s="1">
        <f t="shared" si="3"/>
        <v>0.73661360347322724</v>
      </c>
    </row>
    <row r="9" spans="1:14" x14ac:dyDescent="0.2">
      <c r="A9">
        <v>16</v>
      </c>
      <c r="B9">
        <v>74.900000000000006</v>
      </c>
      <c r="C9">
        <v>6.6</v>
      </c>
      <c r="D9">
        <v>71</v>
      </c>
      <c r="E9">
        <v>6.4</v>
      </c>
      <c r="F9">
        <v>59.2</v>
      </c>
      <c r="G9">
        <v>6.7</v>
      </c>
      <c r="H9">
        <v>56.5</v>
      </c>
      <c r="I9">
        <v>6.5</v>
      </c>
      <c r="J9" s="1">
        <f t="shared" si="0"/>
        <v>1.015625</v>
      </c>
      <c r="K9">
        <v>1</v>
      </c>
      <c r="L9" s="1">
        <f t="shared" si="1"/>
        <v>0.94793057409879833</v>
      </c>
      <c r="M9" s="1">
        <f t="shared" si="2"/>
        <v>0.79038718291054733</v>
      </c>
      <c r="N9" s="1">
        <f t="shared" si="3"/>
        <v>0.75433911882510007</v>
      </c>
    </row>
    <row r="10" spans="1:14" x14ac:dyDescent="0.2">
      <c r="A10">
        <v>18</v>
      </c>
      <c r="B10">
        <v>81.099999999999994</v>
      </c>
      <c r="C10">
        <v>8.1</v>
      </c>
      <c r="D10">
        <v>76.8</v>
      </c>
      <c r="E10">
        <v>7.7</v>
      </c>
      <c r="F10">
        <v>62.2</v>
      </c>
      <c r="G10">
        <v>7.6</v>
      </c>
      <c r="H10">
        <v>60</v>
      </c>
      <c r="I10">
        <v>7.1</v>
      </c>
      <c r="J10" s="1">
        <f t="shared" si="0"/>
        <v>0.92207792207792205</v>
      </c>
      <c r="K10">
        <v>1</v>
      </c>
      <c r="L10" s="1">
        <f t="shared" si="1"/>
        <v>0.94697903822441432</v>
      </c>
      <c r="M10" s="1">
        <f t="shared" si="2"/>
        <v>0.76695437731196059</v>
      </c>
      <c r="N10" s="1">
        <f t="shared" si="3"/>
        <v>0.73982737361282369</v>
      </c>
    </row>
    <row r="11" spans="1:14" x14ac:dyDescent="0.2">
      <c r="A11">
        <v>20</v>
      </c>
      <c r="B11">
        <v>86</v>
      </c>
      <c r="C11">
        <v>8.6</v>
      </c>
      <c r="D11">
        <v>82</v>
      </c>
      <c r="E11">
        <v>8.4</v>
      </c>
      <c r="F11">
        <v>65.099999999999994</v>
      </c>
      <c r="G11">
        <v>8</v>
      </c>
      <c r="H11">
        <v>62.9</v>
      </c>
      <c r="I11">
        <v>7.7</v>
      </c>
      <c r="J11" s="1">
        <f t="shared" si="0"/>
        <v>0.91666666666666663</v>
      </c>
      <c r="K11">
        <v>1</v>
      </c>
      <c r="L11" s="1">
        <f t="shared" si="1"/>
        <v>0.95348837209302328</v>
      </c>
      <c r="M11" s="1">
        <f t="shared" si="2"/>
        <v>0.75697674418604644</v>
      </c>
      <c r="N11" s="1">
        <f t="shared" si="3"/>
        <v>0.73139534883720925</v>
      </c>
    </row>
    <row r="12" spans="1:14" x14ac:dyDescent="0.2">
      <c r="A12">
        <v>22</v>
      </c>
      <c r="B12">
        <v>92.1</v>
      </c>
      <c r="C12">
        <v>10.1</v>
      </c>
      <c r="D12">
        <v>88.3</v>
      </c>
      <c r="E12">
        <v>9.6999999999999993</v>
      </c>
      <c r="F12">
        <v>69</v>
      </c>
      <c r="G12">
        <v>9.1</v>
      </c>
      <c r="H12">
        <v>67.099999999999994</v>
      </c>
      <c r="I12">
        <v>9</v>
      </c>
      <c r="J12" s="1">
        <f t="shared" si="0"/>
        <v>0.92783505154639179</v>
      </c>
      <c r="K12">
        <v>1</v>
      </c>
      <c r="L12" s="1">
        <f t="shared" si="1"/>
        <v>0.95874049945711182</v>
      </c>
      <c r="M12" s="1">
        <f t="shared" si="2"/>
        <v>0.749185667752443</v>
      </c>
      <c r="N12" s="1">
        <f t="shared" si="3"/>
        <v>0.7285559174809989</v>
      </c>
    </row>
    <row r="13" spans="1:14" x14ac:dyDescent="0.2">
      <c r="A13">
        <v>24</v>
      </c>
      <c r="B13">
        <v>98.2</v>
      </c>
      <c r="C13">
        <v>11.8</v>
      </c>
      <c r="D13">
        <v>94.3</v>
      </c>
      <c r="E13">
        <v>11.7</v>
      </c>
      <c r="F13">
        <v>72.2</v>
      </c>
      <c r="G13">
        <v>10.7</v>
      </c>
      <c r="H13">
        <v>70.5</v>
      </c>
      <c r="I13">
        <v>10</v>
      </c>
      <c r="J13" s="1">
        <f t="shared" si="0"/>
        <v>0.85470085470085477</v>
      </c>
      <c r="K13">
        <v>1</v>
      </c>
      <c r="L13" s="1">
        <f t="shared" si="1"/>
        <v>0.96028513238289204</v>
      </c>
      <c r="M13" s="1">
        <f t="shared" si="2"/>
        <v>0.73523421588594706</v>
      </c>
      <c r="N13" s="1">
        <f t="shared" si="3"/>
        <v>0.7179226069246436</v>
      </c>
    </row>
    <row r="14" spans="1:14" x14ac:dyDescent="0.2">
      <c r="A14">
        <v>26</v>
      </c>
      <c r="B14">
        <v>106.1</v>
      </c>
      <c r="C14">
        <v>14.8</v>
      </c>
      <c r="D14">
        <v>100.9</v>
      </c>
      <c r="E14">
        <v>14</v>
      </c>
      <c r="F14">
        <v>76.900000000000006</v>
      </c>
      <c r="G14">
        <v>12.1</v>
      </c>
      <c r="H14">
        <v>74.7</v>
      </c>
      <c r="I14">
        <v>12.3</v>
      </c>
      <c r="J14" s="1">
        <f t="shared" si="0"/>
        <v>0.87857142857142867</v>
      </c>
      <c r="K14">
        <v>1</v>
      </c>
      <c r="L14" s="1">
        <f t="shared" si="1"/>
        <v>0.95098963242224333</v>
      </c>
      <c r="M14" s="1">
        <f t="shared" si="2"/>
        <v>0.7247879359095194</v>
      </c>
      <c r="N14" s="1">
        <f t="shared" si="3"/>
        <v>0.70405278039585306</v>
      </c>
    </row>
    <row r="15" spans="1:14" x14ac:dyDescent="0.2">
      <c r="A15">
        <v>28</v>
      </c>
      <c r="B15">
        <v>109.2</v>
      </c>
      <c r="C15">
        <v>15.3</v>
      </c>
      <c r="D15">
        <v>105.3</v>
      </c>
      <c r="E15">
        <v>14.5</v>
      </c>
      <c r="F15">
        <v>78.7</v>
      </c>
      <c r="G15">
        <v>12.6</v>
      </c>
      <c r="H15">
        <v>77.099999999999994</v>
      </c>
      <c r="I15">
        <v>12.4</v>
      </c>
      <c r="J15" s="1">
        <f t="shared" si="0"/>
        <v>0.85517241379310349</v>
      </c>
      <c r="K15">
        <v>1</v>
      </c>
      <c r="L15" s="1">
        <f t="shared" si="1"/>
        <v>0.96428571428571419</v>
      </c>
      <c r="M15" s="1">
        <f t="shared" si="2"/>
        <v>0.72069597069597069</v>
      </c>
      <c r="N15" s="1">
        <f t="shared" si="3"/>
        <v>0.70604395604395598</v>
      </c>
    </row>
    <row r="16" spans="1:14" x14ac:dyDescent="0.2">
      <c r="A16">
        <v>30</v>
      </c>
      <c r="B16">
        <v>115.2</v>
      </c>
      <c r="C16">
        <v>16.600000000000001</v>
      </c>
      <c r="D16">
        <v>110.6</v>
      </c>
      <c r="E16">
        <v>15.8</v>
      </c>
      <c r="F16">
        <v>82.4</v>
      </c>
      <c r="G16">
        <v>13.6</v>
      </c>
      <c r="H16">
        <v>80.599999999999994</v>
      </c>
      <c r="I16">
        <v>13.2</v>
      </c>
      <c r="J16" s="1">
        <f t="shared" si="0"/>
        <v>0.83544303797468344</v>
      </c>
      <c r="K16">
        <v>1</v>
      </c>
      <c r="L16" s="1">
        <f t="shared" si="1"/>
        <v>0.96006944444444442</v>
      </c>
      <c r="M16" s="1">
        <f t="shared" si="2"/>
        <v>0.71527777777777779</v>
      </c>
      <c r="N16" s="1">
        <f t="shared" si="3"/>
        <v>0.69965277777777768</v>
      </c>
    </row>
    <row r="17" spans="1:14" x14ac:dyDescent="0.2">
      <c r="A17">
        <v>32</v>
      </c>
      <c r="B17">
        <v>119.1</v>
      </c>
      <c r="C17">
        <v>20.6</v>
      </c>
      <c r="D17">
        <v>115.2</v>
      </c>
      <c r="E17">
        <v>19.899999999999999</v>
      </c>
      <c r="F17">
        <v>84.6</v>
      </c>
      <c r="G17">
        <v>16.2</v>
      </c>
      <c r="H17">
        <v>83</v>
      </c>
      <c r="I17">
        <v>15.9</v>
      </c>
      <c r="J17" s="1">
        <f t="shared" si="0"/>
        <v>0.79899497487437199</v>
      </c>
      <c r="K17">
        <v>1</v>
      </c>
      <c r="L17" s="1">
        <f t="shared" si="1"/>
        <v>0.96725440806045349</v>
      </c>
      <c r="M17" s="1">
        <f t="shared" si="2"/>
        <v>0.7103274559193955</v>
      </c>
      <c r="N17" s="1">
        <f t="shared" si="3"/>
        <v>0.69689336691855586</v>
      </c>
    </row>
    <row r="18" spans="1:14" x14ac:dyDescent="0.2">
      <c r="A18">
        <v>34</v>
      </c>
      <c r="B18">
        <v>125.4</v>
      </c>
      <c r="C18">
        <v>25.5</v>
      </c>
      <c r="D18">
        <v>120.5</v>
      </c>
      <c r="E18">
        <v>24.4</v>
      </c>
      <c r="F18">
        <v>86.6</v>
      </c>
      <c r="G18">
        <v>20</v>
      </c>
      <c r="H18">
        <v>86.2</v>
      </c>
      <c r="I18">
        <v>19.600000000000001</v>
      </c>
      <c r="J18" s="1">
        <f t="shared" si="0"/>
        <v>0.80327868852459028</v>
      </c>
      <c r="K18">
        <v>1</v>
      </c>
      <c r="L18" s="1">
        <f t="shared" si="1"/>
        <v>0.96092503987240829</v>
      </c>
      <c r="M18" s="1">
        <f t="shared" si="2"/>
        <v>0.6905901116427432</v>
      </c>
      <c r="N18" s="1">
        <f t="shared" si="3"/>
        <v>0.68740031897926634</v>
      </c>
    </row>
    <row r="19" spans="1:14" x14ac:dyDescent="0.2">
      <c r="A19">
        <v>36</v>
      </c>
      <c r="B19">
        <v>131.19999999999999</v>
      </c>
      <c r="C19">
        <v>28.1</v>
      </c>
      <c r="D19">
        <v>127.5</v>
      </c>
      <c r="E19">
        <v>27.3</v>
      </c>
      <c r="F19">
        <v>90.6</v>
      </c>
      <c r="G19">
        <v>21.5</v>
      </c>
      <c r="H19">
        <v>89.9</v>
      </c>
      <c r="I19">
        <v>20.7</v>
      </c>
      <c r="J19" s="1">
        <f t="shared" si="0"/>
        <v>0.75824175824175821</v>
      </c>
      <c r="K19">
        <v>1</v>
      </c>
      <c r="L19" s="1">
        <f t="shared" si="1"/>
        <v>0.97179878048780499</v>
      </c>
      <c r="M19" s="1">
        <f t="shared" si="2"/>
        <v>0.69054878048780488</v>
      </c>
      <c r="N19" s="1">
        <f t="shared" si="3"/>
        <v>0.68521341463414642</v>
      </c>
    </row>
    <row r="20" spans="1:14" x14ac:dyDescent="0.2">
      <c r="A20">
        <v>38</v>
      </c>
      <c r="B20">
        <v>136.1</v>
      </c>
      <c r="C20">
        <v>28.6</v>
      </c>
      <c r="D20">
        <v>131.80000000000001</v>
      </c>
      <c r="E20">
        <v>28.1</v>
      </c>
      <c r="F20">
        <v>94</v>
      </c>
      <c r="G20">
        <v>21.9</v>
      </c>
      <c r="H20">
        <v>92.2</v>
      </c>
      <c r="I20">
        <v>21</v>
      </c>
      <c r="J20" s="1">
        <f t="shared" si="0"/>
        <v>0.74733096085409245</v>
      </c>
      <c r="K20">
        <v>1</v>
      </c>
      <c r="L20" s="1">
        <f t="shared" si="1"/>
        <v>0.96840558412931677</v>
      </c>
      <c r="M20" s="1">
        <f t="shared" si="2"/>
        <v>0.69066862601028656</v>
      </c>
      <c r="N20" s="1">
        <f t="shared" si="3"/>
        <v>0.67744305657604709</v>
      </c>
    </row>
    <row r="21" spans="1:14" x14ac:dyDescent="0.2">
      <c r="A21">
        <v>40</v>
      </c>
      <c r="B21">
        <v>140.80000000000001</v>
      </c>
      <c r="C21">
        <v>30.9</v>
      </c>
      <c r="D21">
        <v>136.5</v>
      </c>
      <c r="E21">
        <v>29.6</v>
      </c>
      <c r="F21">
        <v>97</v>
      </c>
      <c r="G21">
        <v>22.5</v>
      </c>
      <c r="H21">
        <v>94.8</v>
      </c>
      <c r="I21">
        <v>22</v>
      </c>
      <c r="J21" s="1">
        <f t="shared" si="0"/>
        <v>0.7432432432432432</v>
      </c>
      <c r="K21">
        <v>1</v>
      </c>
      <c r="L21" s="1">
        <f t="shared" si="1"/>
        <v>0.96946022727272718</v>
      </c>
      <c r="M21" s="1">
        <f t="shared" si="2"/>
        <v>0.68892045454545447</v>
      </c>
      <c r="N21" s="1">
        <f t="shared" si="3"/>
        <v>0.67329545454545447</v>
      </c>
    </row>
    <row r="22" spans="1:14" x14ac:dyDescent="0.2">
      <c r="A22">
        <v>60</v>
      </c>
      <c r="B22">
        <v>190.2</v>
      </c>
      <c r="C22">
        <v>46.4</v>
      </c>
      <c r="D22">
        <v>186.2</v>
      </c>
      <c r="E22">
        <v>45.4</v>
      </c>
      <c r="F22">
        <v>121.6</v>
      </c>
      <c r="G22">
        <v>31</v>
      </c>
      <c r="H22">
        <v>121.2</v>
      </c>
      <c r="I22">
        <v>30.7</v>
      </c>
      <c r="J22" s="1">
        <f t="shared" si="0"/>
        <v>0.67621145374449343</v>
      </c>
      <c r="K22">
        <v>1</v>
      </c>
      <c r="L22" s="1">
        <f t="shared" si="1"/>
        <v>0.97896950578338593</v>
      </c>
      <c r="M22" s="1">
        <f t="shared" si="2"/>
        <v>0.63932702418506837</v>
      </c>
      <c r="N22" s="1">
        <f t="shared" si="3"/>
        <v>0.63722397476340698</v>
      </c>
    </row>
    <row r="23" spans="1:14" x14ac:dyDescent="0.2">
      <c r="A23">
        <v>80</v>
      </c>
      <c r="B23">
        <v>236.6</v>
      </c>
      <c r="C23">
        <v>70.8</v>
      </c>
      <c r="D23">
        <v>231.5</v>
      </c>
      <c r="E23">
        <v>69.2</v>
      </c>
      <c r="F23">
        <v>144.6</v>
      </c>
      <c r="G23">
        <v>43.8</v>
      </c>
      <c r="H23">
        <v>143.80000000000001</v>
      </c>
      <c r="I23">
        <v>42.4</v>
      </c>
      <c r="J23" s="1">
        <f t="shared" si="0"/>
        <v>0.61271676300578026</v>
      </c>
      <c r="K23">
        <v>1</v>
      </c>
      <c r="L23" s="1">
        <f t="shared" si="1"/>
        <v>0.97844463229078615</v>
      </c>
      <c r="M23" s="1">
        <f t="shared" si="2"/>
        <v>0.61115807269653422</v>
      </c>
      <c r="N23" s="1">
        <f t="shared" si="3"/>
        <v>0.60777683854606934</v>
      </c>
    </row>
    <row r="24" spans="1:14" x14ac:dyDescent="0.2">
      <c r="A24">
        <v>100</v>
      </c>
      <c r="B24">
        <v>277.8</v>
      </c>
      <c r="C24">
        <v>94.3</v>
      </c>
      <c r="D24">
        <v>272.2</v>
      </c>
      <c r="E24">
        <v>92.3</v>
      </c>
      <c r="F24">
        <v>164.6</v>
      </c>
      <c r="G24">
        <v>54.4</v>
      </c>
      <c r="H24">
        <v>164.3</v>
      </c>
      <c r="I24">
        <v>54.5</v>
      </c>
      <c r="J24" s="1">
        <f t="shared" si="0"/>
        <v>0.59046587215601298</v>
      </c>
      <c r="K24">
        <v>1</v>
      </c>
      <c r="L24" s="1">
        <f t="shared" si="1"/>
        <v>0.97984161267098624</v>
      </c>
      <c r="M24" s="1">
        <f t="shared" si="2"/>
        <v>0.59251259899208064</v>
      </c>
      <c r="N24" s="1">
        <f t="shared" si="3"/>
        <v>0.59143268538516924</v>
      </c>
    </row>
    <row r="25" spans="1:14" x14ac:dyDescent="0.2">
      <c r="A25">
        <v>120</v>
      </c>
      <c r="B25">
        <v>319.39999999999998</v>
      </c>
      <c r="C25">
        <v>123.6</v>
      </c>
      <c r="D25">
        <v>313</v>
      </c>
      <c r="E25">
        <v>119.9</v>
      </c>
      <c r="F25">
        <v>184.6</v>
      </c>
      <c r="G25">
        <v>67.3</v>
      </c>
      <c r="H25">
        <v>183.5</v>
      </c>
      <c r="I25">
        <v>67.3</v>
      </c>
      <c r="J25" s="1">
        <f t="shared" si="0"/>
        <v>0.56130108423686398</v>
      </c>
      <c r="K25">
        <v>1</v>
      </c>
      <c r="L25" s="1">
        <f t="shared" si="1"/>
        <v>0.97996242955541646</v>
      </c>
      <c r="M25" s="1">
        <f t="shared" si="2"/>
        <v>0.57795867251095812</v>
      </c>
      <c r="N25" s="1">
        <f t="shared" si="3"/>
        <v>0.57451471509079532</v>
      </c>
    </row>
    <row r="26" spans="1:14" x14ac:dyDescent="0.2">
      <c r="A26">
        <v>140</v>
      </c>
      <c r="B26">
        <v>361.4</v>
      </c>
      <c r="C26">
        <v>207.8</v>
      </c>
      <c r="D26">
        <v>353.7</v>
      </c>
      <c r="E26">
        <v>203.9</v>
      </c>
      <c r="F26">
        <v>200.6</v>
      </c>
      <c r="G26">
        <v>108.7</v>
      </c>
      <c r="H26">
        <v>201.1</v>
      </c>
      <c r="I26">
        <v>109.1</v>
      </c>
      <c r="J26" s="1">
        <f t="shared" si="0"/>
        <v>0.53506620892594403</v>
      </c>
      <c r="K26">
        <v>1</v>
      </c>
      <c r="L26" s="1">
        <f t="shared" si="1"/>
        <v>0.97869396790260099</v>
      </c>
      <c r="M26" s="1">
        <f t="shared" si="2"/>
        <v>0.55506364139457665</v>
      </c>
      <c r="N26" s="1">
        <f t="shared" si="3"/>
        <v>0.5564471499723298</v>
      </c>
    </row>
    <row r="27" spans="1:14" x14ac:dyDescent="0.2">
      <c r="A27">
        <v>160</v>
      </c>
      <c r="B27">
        <v>402.6</v>
      </c>
      <c r="C27">
        <v>192.3</v>
      </c>
      <c r="D27">
        <v>396.5</v>
      </c>
      <c r="E27">
        <v>189.1</v>
      </c>
      <c r="F27">
        <v>220.1</v>
      </c>
      <c r="G27">
        <v>97.3</v>
      </c>
      <c r="H27">
        <v>219.4</v>
      </c>
      <c r="I27">
        <v>98</v>
      </c>
      <c r="J27" s="1">
        <f t="shared" si="0"/>
        <v>0.51824431517715497</v>
      </c>
      <c r="K27">
        <v>1</v>
      </c>
      <c r="L27" s="1">
        <f t="shared" si="1"/>
        <v>0.98484848484848475</v>
      </c>
      <c r="M27" s="1">
        <f t="shared" si="2"/>
        <v>0.54669647292598111</v>
      </c>
      <c r="N27" s="1">
        <f t="shared" si="3"/>
        <v>0.54495777446597116</v>
      </c>
    </row>
    <row r="28" spans="1:14" x14ac:dyDescent="0.2">
      <c r="A28">
        <v>180</v>
      </c>
      <c r="B28">
        <v>435.2</v>
      </c>
      <c r="C28">
        <v>229.7</v>
      </c>
      <c r="D28">
        <v>432.4</v>
      </c>
      <c r="E28">
        <v>227.7</v>
      </c>
      <c r="F28">
        <v>235</v>
      </c>
      <c r="G28">
        <v>114.4</v>
      </c>
      <c r="H28">
        <v>234.6</v>
      </c>
      <c r="I28">
        <v>113.3</v>
      </c>
      <c r="J28" s="1">
        <f t="shared" si="0"/>
        <v>0.49758454106280192</v>
      </c>
      <c r="K28">
        <v>1</v>
      </c>
      <c r="L28" s="1">
        <f t="shared" si="1"/>
        <v>0.9935661764705882</v>
      </c>
      <c r="M28" s="1">
        <f t="shared" si="2"/>
        <v>0.53998161764705888</v>
      </c>
      <c r="N28" s="1">
        <f t="shared" si="3"/>
        <v>0.5390625</v>
      </c>
    </row>
    <row r="29" spans="1:14" x14ac:dyDescent="0.2">
      <c r="A29">
        <v>200</v>
      </c>
      <c r="B29">
        <v>474.6</v>
      </c>
      <c r="C29">
        <v>288.10000000000002</v>
      </c>
      <c r="D29">
        <v>467.5</v>
      </c>
      <c r="E29">
        <v>282.2</v>
      </c>
      <c r="F29">
        <v>251.3</v>
      </c>
      <c r="G29">
        <v>137.69999999999999</v>
      </c>
      <c r="H29">
        <v>250</v>
      </c>
      <c r="I29">
        <v>136.80000000000001</v>
      </c>
      <c r="J29" s="1">
        <f t="shared" si="0"/>
        <v>0.48476257973068754</v>
      </c>
      <c r="K29">
        <v>1</v>
      </c>
      <c r="L29" s="1">
        <f t="shared" si="1"/>
        <v>0.98504003371260007</v>
      </c>
      <c r="M29" s="1">
        <f t="shared" si="2"/>
        <v>0.52949852507374628</v>
      </c>
      <c r="N29" s="1">
        <f t="shared" si="3"/>
        <v>0.5267593763168984</v>
      </c>
    </row>
    <row r="30" spans="1:14" x14ac:dyDescent="0.2">
      <c r="A30">
        <v>300</v>
      </c>
      <c r="B30">
        <v>642.9</v>
      </c>
      <c r="C30">
        <v>586.5</v>
      </c>
      <c r="D30">
        <v>637.5</v>
      </c>
      <c r="E30">
        <v>582.9</v>
      </c>
      <c r="F30">
        <v>318.5</v>
      </c>
      <c r="G30">
        <v>250.6</v>
      </c>
      <c r="H30">
        <v>319.39999999999998</v>
      </c>
      <c r="I30">
        <v>250.6</v>
      </c>
      <c r="J30" s="1">
        <f t="shared" si="0"/>
        <v>0.42991936867387204</v>
      </c>
      <c r="K30">
        <v>1</v>
      </c>
      <c r="L30" s="1">
        <f t="shared" ref="L30:L44" si="4">D30/B30</f>
        <v>0.99160055996266916</v>
      </c>
      <c r="M30" s="1">
        <f t="shared" ref="M30:M44" si="5">F30/B30</f>
        <v>0.49541141701664337</v>
      </c>
      <c r="N30" s="1">
        <f t="shared" ref="N30:N44" si="6">H30/B30</f>
        <v>0.49681132368953179</v>
      </c>
    </row>
    <row r="31" spans="1:14" x14ac:dyDescent="0.2">
      <c r="A31">
        <v>400</v>
      </c>
      <c r="B31">
        <v>793</v>
      </c>
      <c r="C31">
        <v>918.8</v>
      </c>
      <c r="D31">
        <v>786.8</v>
      </c>
      <c r="E31">
        <v>913.9</v>
      </c>
      <c r="F31">
        <v>376</v>
      </c>
      <c r="G31">
        <v>353.9</v>
      </c>
      <c r="H31">
        <v>375.1</v>
      </c>
      <c r="I31">
        <v>353</v>
      </c>
      <c r="J31" s="1">
        <f t="shared" si="0"/>
        <v>0.38625670204617574</v>
      </c>
      <c r="K31">
        <v>1</v>
      </c>
      <c r="L31" s="1">
        <f t="shared" si="4"/>
        <v>0.99218158890290031</v>
      </c>
      <c r="M31" s="1">
        <f t="shared" si="5"/>
        <v>0.47414880201765447</v>
      </c>
      <c r="N31" s="1">
        <f t="shared" si="6"/>
        <v>0.47301387137452716</v>
      </c>
    </row>
    <row r="32" spans="1:14" x14ac:dyDescent="0.2">
      <c r="A32">
        <v>500</v>
      </c>
      <c r="B32">
        <v>933.1</v>
      </c>
      <c r="C32">
        <v>1257.3</v>
      </c>
      <c r="D32">
        <v>924</v>
      </c>
      <c r="E32">
        <v>1245.0999999999999</v>
      </c>
      <c r="F32">
        <v>426.4</v>
      </c>
      <c r="G32">
        <v>443.9</v>
      </c>
      <c r="H32">
        <v>425.1</v>
      </c>
      <c r="I32">
        <v>444.8</v>
      </c>
      <c r="J32" s="1">
        <f t="shared" si="0"/>
        <v>0.3572403822986106</v>
      </c>
      <c r="K32">
        <v>1</v>
      </c>
      <c r="L32" s="1">
        <f t="shared" si="4"/>
        <v>0.99024756189047258</v>
      </c>
      <c r="M32" s="1">
        <f t="shared" si="5"/>
        <v>0.45697138570356871</v>
      </c>
      <c r="N32" s="1">
        <f t="shared" si="6"/>
        <v>0.45557818025935054</v>
      </c>
    </row>
    <row r="33" spans="1:14" x14ac:dyDescent="0.2">
      <c r="A33">
        <v>600</v>
      </c>
      <c r="B33">
        <v>1055.5999999999999</v>
      </c>
      <c r="C33">
        <v>1703.8</v>
      </c>
      <c r="D33">
        <v>1049.3</v>
      </c>
      <c r="E33">
        <v>1683.2</v>
      </c>
      <c r="F33">
        <v>470.7</v>
      </c>
      <c r="G33">
        <v>561.4</v>
      </c>
      <c r="H33">
        <v>470.6</v>
      </c>
      <c r="I33">
        <v>568.29999999999995</v>
      </c>
      <c r="J33" s="1">
        <f t="shared" si="0"/>
        <v>0.3376307034220532</v>
      </c>
      <c r="K33">
        <v>1</v>
      </c>
      <c r="L33" s="1">
        <f t="shared" si="4"/>
        <v>0.99403183023872688</v>
      </c>
      <c r="M33" s="1">
        <f t="shared" si="5"/>
        <v>0.44590754073512695</v>
      </c>
      <c r="N33" s="1">
        <f t="shared" si="6"/>
        <v>0.44581280788177347</v>
      </c>
    </row>
    <row r="34" spans="1:14" x14ac:dyDescent="0.2">
      <c r="A34">
        <v>700</v>
      </c>
      <c r="B34">
        <v>1172.5999999999999</v>
      </c>
      <c r="C34">
        <v>2177</v>
      </c>
      <c r="D34">
        <v>1159.5</v>
      </c>
      <c r="E34">
        <v>2153.8000000000002</v>
      </c>
      <c r="F34">
        <v>508</v>
      </c>
      <c r="G34">
        <v>679.6</v>
      </c>
      <c r="H34">
        <v>510.3</v>
      </c>
      <c r="I34">
        <v>682.9</v>
      </c>
      <c r="J34" s="1">
        <f t="shared" si="0"/>
        <v>0.31706750858946975</v>
      </c>
      <c r="K34">
        <v>1</v>
      </c>
      <c r="L34" s="1">
        <f t="shared" si="4"/>
        <v>0.98882824492580601</v>
      </c>
      <c r="M34" s="1">
        <f t="shared" si="5"/>
        <v>0.43322531127409181</v>
      </c>
      <c r="N34" s="1">
        <f t="shared" si="6"/>
        <v>0.43518676445505716</v>
      </c>
    </row>
    <row r="35" spans="1:14" x14ac:dyDescent="0.2">
      <c r="A35">
        <v>800</v>
      </c>
      <c r="B35">
        <v>1277.4000000000001</v>
      </c>
      <c r="C35">
        <v>2945.4</v>
      </c>
      <c r="D35">
        <v>1268.0999999999999</v>
      </c>
      <c r="E35">
        <v>2930.3</v>
      </c>
      <c r="F35">
        <v>544.29999999999995</v>
      </c>
      <c r="G35">
        <v>868.4</v>
      </c>
      <c r="H35">
        <v>545.20000000000005</v>
      </c>
      <c r="I35">
        <v>874.4</v>
      </c>
      <c r="J35" s="1">
        <f t="shared" si="0"/>
        <v>0.29839948128178001</v>
      </c>
      <c r="K35">
        <v>1</v>
      </c>
      <c r="L35" s="1">
        <f t="shared" si="4"/>
        <v>0.99271958666040383</v>
      </c>
      <c r="M35" s="1">
        <f t="shared" si="5"/>
        <v>0.42609989040237978</v>
      </c>
      <c r="N35" s="1">
        <f t="shared" si="6"/>
        <v>0.42680444653201816</v>
      </c>
    </row>
    <row r="36" spans="1:14" x14ac:dyDescent="0.2">
      <c r="A36">
        <v>900</v>
      </c>
      <c r="B36">
        <v>1378.6</v>
      </c>
      <c r="C36">
        <v>3625.4</v>
      </c>
      <c r="D36">
        <v>1369.7</v>
      </c>
      <c r="E36">
        <v>3614.7</v>
      </c>
      <c r="F36">
        <v>578.5</v>
      </c>
      <c r="G36">
        <v>1027.5999999999999</v>
      </c>
      <c r="H36">
        <v>579.1</v>
      </c>
      <c r="I36">
        <v>1031.5</v>
      </c>
      <c r="J36" s="1">
        <f t="shared" si="0"/>
        <v>0.28536254737599248</v>
      </c>
      <c r="K36">
        <v>1</v>
      </c>
      <c r="L36" s="1">
        <f t="shared" si="4"/>
        <v>0.99354417525025396</v>
      </c>
      <c r="M36" s="1">
        <f t="shared" si="5"/>
        <v>0.41962860873349778</v>
      </c>
      <c r="N36" s="1">
        <f t="shared" si="6"/>
        <v>0.42006383287393012</v>
      </c>
    </row>
    <row r="37" spans="1:14" x14ac:dyDescent="0.2">
      <c r="A37">
        <v>1000</v>
      </c>
      <c r="B37">
        <v>1477.2</v>
      </c>
      <c r="C37">
        <v>4049.9</v>
      </c>
      <c r="D37">
        <v>1466.4</v>
      </c>
      <c r="E37">
        <v>4021.1</v>
      </c>
      <c r="F37">
        <v>609.79999999999995</v>
      </c>
      <c r="G37">
        <v>1091</v>
      </c>
      <c r="H37">
        <v>611.20000000000005</v>
      </c>
      <c r="I37">
        <v>1102.9000000000001</v>
      </c>
      <c r="J37" s="1">
        <f t="shared" si="0"/>
        <v>0.27427818258685438</v>
      </c>
      <c r="K37">
        <v>1</v>
      </c>
      <c r="L37" s="1">
        <f t="shared" si="4"/>
        <v>0.9926888708367182</v>
      </c>
      <c r="M37" s="1">
        <f t="shared" si="5"/>
        <v>0.41280801516382343</v>
      </c>
      <c r="N37" s="1">
        <f t="shared" si="6"/>
        <v>0.41375575412943411</v>
      </c>
    </row>
    <row r="38" spans="1:14" x14ac:dyDescent="0.2">
      <c r="A38">
        <v>1100</v>
      </c>
      <c r="B38">
        <v>1569</v>
      </c>
      <c r="C38">
        <v>4103.8999999999996</v>
      </c>
      <c r="D38">
        <v>1563.2</v>
      </c>
      <c r="E38">
        <v>4089.1</v>
      </c>
      <c r="F38">
        <v>636.9</v>
      </c>
      <c r="G38">
        <v>1065.0999999999999</v>
      </c>
      <c r="H38">
        <v>639.70000000000005</v>
      </c>
      <c r="I38">
        <v>1065.0999999999999</v>
      </c>
      <c r="J38" s="1">
        <f t="shared" si="0"/>
        <v>0.26047296471106107</v>
      </c>
      <c r="K38">
        <v>1</v>
      </c>
      <c r="L38" s="1">
        <f t="shared" si="4"/>
        <v>0.99630337794773749</v>
      </c>
      <c r="M38" s="1">
        <f t="shared" si="5"/>
        <v>0.40592734225621413</v>
      </c>
      <c r="N38" s="1">
        <f t="shared" si="6"/>
        <v>0.40771191841937543</v>
      </c>
    </row>
    <row r="39" spans="1:14" x14ac:dyDescent="0.2">
      <c r="A39">
        <v>1200</v>
      </c>
      <c r="B39">
        <v>1653.7</v>
      </c>
      <c r="C39">
        <v>4825.1000000000004</v>
      </c>
      <c r="D39">
        <v>1645</v>
      </c>
      <c r="E39">
        <v>4802.7</v>
      </c>
      <c r="F39">
        <v>666.3</v>
      </c>
      <c r="G39">
        <v>1202.7</v>
      </c>
      <c r="H39">
        <v>667.1</v>
      </c>
      <c r="I39">
        <v>1209.3</v>
      </c>
      <c r="J39" s="1">
        <f t="shared" si="0"/>
        <v>0.25179586482603533</v>
      </c>
      <c r="K39">
        <v>1</v>
      </c>
      <c r="L39" s="1">
        <f t="shared" si="4"/>
        <v>0.99473906996432238</v>
      </c>
      <c r="M39" s="1">
        <f t="shared" si="5"/>
        <v>0.40291467618068572</v>
      </c>
      <c r="N39" s="1">
        <f t="shared" si="6"/>
        <v>0.40339843986212737</v>
      </c>
    </row>
    <row r="40" spans="1:14" x14ac:dyDescent="0.2">
      <c r="A40">
        <v>1300</v>
      </c>
      <c r="B40">
        <v>1735.1</v>
      </c>
      <c r="C40">
        <v>5924.7</v>
      </c>
      <c r="D40">
        <v>1720.4</v>
      </c>
      <c r="E40">
        <v>5880</v>
      </c>
      <c r="F40">
        <v>690</v>
      </c>
      <c r="G40">
        <v>1438</v>
      </c>
      <c r="H40">
        <v>690.9</v>
      </c>
      <c r="I40">
        <v>1438.7</v>
      </c>
      <c r="J40" s="1">
        <f t="shared" si="0"/>
        <v>0.24467687074829933</v>
      </c>
      <c r="K40">
        <v>1</v>
      </c>
      <c r="L40" s="1">
        <f t="shared" si="4"/>
        <v>0.99152786582905894</v>
      </c>
      <c r="M40" s="1">
        <f t="shared" si="5"/>
        <v>0.39767160394213591</v>
      </c>
      <c r="N40" s="1">
        <f t="shared" si="6"/>
        <v>0.39819030603423433</v>
      </c>
    </row>
    <row r="41" spans="1:14" x14ac:dyDescent="0.2">
      <c r="A41">
        <v>1400</v>
      </c>
      <c r="B41">
        <v>1804.5</v>
      </c>
      <c r="C41">
        <v>6497.6</v>
      </c>
      <c r="D41">
        <v>1794.2</v>
      </c>
      <c r="E41">
        <v>6448.1</v>
      </c>
      <c r="F41">
        <v>714.2</v>
      </c>
      <c r="G41">
        <v>1526.7</v>
      </c>
      <c r="H41">
        <v>716.5</v>
      </c>
      <c r="I41">
        <v>1530</v>
      </c>
      <c r="J41" s="1">
        <f t="shared" si="0"/>
        <v>0.23727919852359608</v>
      </c>
      <c r="K41">
        <v>1</v>
      </c>
      <c r="L41" s="1">
        <f t="shared" si="4"/>
        <v>0.99429204765863122</v>
      </c>
      <c r="M41" s="1">
        <f t="shared" si="5"/>
        <v>0.39578830701025219</v>
      </c>
      <c r="N41" s="1">
        <f t="shared" si="6"/>
        <v>0.39706289830978109</v>
      </c>
    </row>
    <row r="42" spans="1:14" x14ac:dyDescent="0.2">
      <c r="A42">
        <v>1500</v>
      </c>
      <c r="B42">
        <v>1882.5</v>
      </c>
      <c r="C42">
        <v>7324.6</v>
      </c>
      <c r="D42">
        <v>1870.6</v>
      </c>
      <c r="E42">
        <v>7277.9</v>
      </c>
      <c r="F42">
        <v>739</v>
      </c>
      <c r="G42">
        <v>1676</v>
      </c>
      <c r="H42">
        <v>739.8</v>
      </c>
      <c r="I42">
        <v>1675.3</v>
      </c>
      <c r="J42" s="1">
        <f t="shared" si="0"/>
        <v>0.23019002734305227</v>
      </c>
      <c r="K42">
        <v>1</v>
      </c>
      <c r="L42" s="1">
        <f t="shared" si="4"/>
        <v>0.99367861885790165</v>
      </c>
      <c r="M42" s="1">
        <f t="shared" si="5"/>
        <v>0.39256308100929616</v>
      </c>
      <c r="N42" s="1">
        <f t="shared" si="6"/>
        <v>0.3929880478087649</v>
      </c>
    </row>
    <row r="43" spans="1:14" x14ac:dyDescent="0.2">
      <c r="A43">
        <v>1600</v>
      </c>
      <c r="B43">
        <v>1948.9</v>
      </c>
      <c r="C43">
        <v>20746.7</v>
      </c>
      <c r="D43">
        <v>1941.4</v>
      </c>
      <c r="E43">
        <v>34416.400000000001</v>
      </c>
      <c r="F43">
        <v>759</v>
      </c>
      <c r="G43">
        <v>1971.8</v>
      </c>
      <c r="H43">
        <v>759.4</v>
      </c>
      <c r="I43">
        <v>3397</v>
      </c>
      <c r="J43" s="1">
        <f t="shared" si="0"/>
        <v>9.8702943945328386E-2</v>
      </c>
      <c r="K43">
        <v>1</v>
      </c>
      <c r="L43" s="1">
        <f t="shared" si="4"/>
        <v>0.9961516753040176</v>
      </c>
      <c r="M43" s="1">
        <f t="shared" si="5"/>
        <v>0.3894504592334137</v>
      </c>
      <c r="N43" s="1">
        <f t="shared" si="6"/>
        <v>0.38965570321719939</v>
      </c>
    </row>
    <row r="44" spans="1:14" x14ac:dyDescent="0.2">
      <c r="A44">
        <v>1700</v>
      </c>
      <c r="B44">
        <v>2023.7</v>
      </c>
      <c r="C44">
        <v>93636.800000000003</v>
      </c>
      <c r="D44">
        <v>2013.7</v>
      </c>
      <c r="E44">
        <v>39831.699999999997</v>
      </c>
      <c r="F44">
        <v>782.2</v>
      </c>
      <c r="G44">
        <v>2382</v>
      </c>
      <c r="H44">
        <v>780.2</v>
      </c>
      <c r="I44">
        <v>4196.7</v>
      </c>
      <c r="J44" s="1">
        <f t="shared" si="0"/>
        <v>0.10536080558951789</v>
      </c>
      <c r="K44">
        <v>1</v>
      </c>
      <c r="L44" s="1">
        <f t="shared" si="4"/>
        <v>0.99505855611009542</v>
      </c>
      <c r="M44" s="1">
        <f t="shared" si="5"/>
        <v>0.38651974106834019</v>
      </c>
      <c r="N44" s="1">
        <f t="shared" si="6"/>
        <v>0.38553145229035923</v>
      </c>
    </row>
    <row r="45" spans="1:14" x14ac:dyDescent="0.2">
      <c r="A45">
        <v>1800</v>
      </c>
      <c r="B45">
        <v>2090.3000000000002</v>
      </c>
      <c r="C45">
        <v>10325.700000000001</v>
      </c>
      <c r="D45">
        <v>2076</v>
      </c>
      <c r="E45">
        <v>10279.5</v>
      </c>
      <c r="F45">
        <v>800.2</v>
      </c>
      <c r="G45">
        <v>2192.1</v>
      </c>
      <c r="H45">
        <v>800.6</v>
      </c>
      <c r="I45">
        <v>2206.1</v>
      </c>
      <c r="J45" s="1">
        <f t="shared" si="0"/>
        <v>0.21461160562284157</v>
      </c>
      <c r="K45">
        <v>1</v>
      </c>
      <c r="L45" s="1">
        <f t="shared" ref="L45:L46" si="7">D45/B45</f>
        <v>0.99315887671626069</v>
      </c>
      <c r="M45" s="1">
        <f t="shared" ref="M45:M46" si="8">F45/B45</f>
        <v>0.38281586375161458</v>
      </c>
      <c r="N45" s="1">
        <f t="shared" ref="N45:N46" si="9">H45/B45</f>
        <v>0.38300722384346741</v>
      </c>
    </row>
    <row r="46" spans="1:14" x14ac:dyDescent="0.2">
      <c r="A46">
        <v>1900</v>
      </c>
      <c r="B46">
        <v>2136.8000000000002</v>
      </c>
      <c r="C46">
        <v>11407.9</v>
      </c>
      <c r="D46">
        <v>2138.8000000000002</v>
      </c>
      <c r="E46">
        <v>11415.1</v>
      </c>
      <c r="F46">
        <v>818.3</v>
      </c>
      <c r="G46">
        <v>2375.6</v>
      </c>
      <c r="H46">
        <v>819</v>
      </c>
      <c r="I46">
        <v>2393.3000000000002</v>
      </c>
      <c r="J46" s="1">
        <f t="shared" si="0"/>
        <v>0.20966088777146061</v>
      </c>
      <c r="K46">
        <v>1</v>
      </c>
      <c r="L46" s="1">
        <f t="shared" si="7"/>
        <v>1.0009359790340697</v>
      </c>
      <c r="M46" s="1">
        <f t="shared" si="8"/>
        <v>0.38295582178959187</v>
      </c>
      <c r="N46" s="1">
        <f t="shared" si="9"/>
        <v>0.38328341445151626</v>
      </c>
    </row>
    <row r="47" spans="1:14" x14ac:dyDescent="0.2">
      <c r="J47" s="1"/>
      <c r="L47" s="1"/>
      <c r="M47" s="1"/>
      <c r="N47" s="1"/>
    </row>
    <row r="48" spans="1:14" x14ac:dyDescent="0.2">
      <c r="J48" s="1"/>
      <c r="L48" s="1"/>
      <c r="M48" s="1"/>
      <c r="N48" s="1"/>
    </row>
    <row r="49" spans="10:14" x14ac:dyDescent="0.2">
      <c r="J49" s="1"/>
      <c r="L49" s="1"/>
      <c r="M49" s="1"/>
      <c r="N49" s="1"/>
    </row>
    <row r="50" spans="10:14" x14ac:dyDescent="0.2">
      <c r="L50" s="1"/>
      <c r="M50" s="1"/>
      <c r="N50" s="1"/>
    </row>
    <row r="51" spans="10:14" x14ac:dyDescent="0.2">
      <c r="L51" s="1"/>
      <c r="M51" s="1"/>
      <c r="N51" s="1"/>
    </row>
    <row r="52" spans="10:14" x14ac:dyDescent="0.2">
      <c r="L52" s="1"/>
      <c r="M52" s="1"/>
      <c r="N52" s="1"/>
    </row>
    <row r="53" spans="10:14" x14ac:dyDescent="0.2">
      <c r="L53" s="1"/>
      <c r="M53" s="1"/>
      <c r="N53" s="1"/>
    </row>
    <row r="54" spans="10:14" x14ac:dyDescent="0.2">
      <c r="L54" s="1"/>
      <c r="M54" s="1"/>
      <c r="N54" s="1"/>
    </row>
    <row r="55" spans="10:14" x14ac:dyDescent="0.2">
      <c r="L55" s="1"/>
      <c r="M55" s="1"/>
      <c r="N55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E048-EC45-404A-A110-2D1AE15B5024}">
  <dimension ref="A1:O55"/>
  <sheetViews>
    <sheetView workbookViewId="0">
      <selection activeCell="J1" sqref="J1:J1048576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  <c r="O1" t="s">
        <v>66</v>
      </c>
    </row>
    <row r="2" spans="1:15" x14ac:dyDescent="0.2">
      <c r="A2">
        <v>2</v>
      </c>
      <c r="B2">
        <v>13.2</v>
      </c>
      <c r="C2">
        <v>1.4</v>
      </c>
      <c r="D2">
        <v>9.8000000000000007</v>
      </c>
      <c r="E2">
        <v>1.2</v>
      </c>
      <c r="F2">
        <v>13.1</v>
      </c>
      <c r="G2">
        <v>3</v>
      </c>
      <c r="H2">
        <v>9</v>
      </c>
      <c r="I2">
        <v>3</v>
      </c>
      <c r="J2" s="1">
        <f t="shared" ref="J2:J46" si="0">I2/E2</f>
        <v>2.5</v>
      </c>
      <c r="K2">
        <v>1</v>
      </c>
      <c r="L2" s="1">
        <f t="shared" ref="L2:L46" si="1">D2/B2</f>
        <v>0.74242424242424254</v>
      </c>
      <c r="M2" s="1">
        <f t="shared" ref="M2:M46" si="2">F2/B2</f>
        <v>0.99242424242424243</v>
      </c>
      <c r="N2" s="1">
        <f t="shared" ref="N2:N46" si="3">H2/B2</f>
        <v>0.68181818181818188</v>
      </c>
    </row>
    <row r="3" spans="1:15" x14ac:dyDescent="0.2">
      <c r="A3">
        <v>4</v>
      </c>
      <c r="B3">
        <v>20.100000000000001</v>
      </c>
      <c r="C3">
        <v>2.1</v>
      </c>
      <c r="D3">
        <v>17.3</v>
      </c>
      <c r="E3">
        <v>1.9</v>
      </c>
      <c r="F3">
        <v>18.8</v>
      </c>
      <c r="G3">
        <v>3.6</v>
      </c>
      <c r="H3">
        <v>15.3</v>
      </c>
      <c r="I3">
        <v>3.3</v>
      </c>
      <c r="J3" s="1">
        <f t="shared" si="0"/>
        <v>1.736842105263158</v>
      </c>
      <c r="K3">
        <v>1</v>
      </c>
      <c r="L3" s="1">
        <f t="shared" si="1"/>
        <v>0.86069651741293529</v>
      </c>
      <c r="M3" s="1">
        <f t="shared" si="2"/>
        <v>0.93532338308457708</v>
      </c>
      <c r="N3" s="1">
        <f t="shared" si="3"/>
        <v>0.76119402985074625</v>
      </c>
    </row>
    <row r="4" spans="1:15" x14ac:dyDescent="0.2">
      <c r="A4">
        <v>6</v>
      </c>
      <c r="B4">
        <v>26.4</v>
      </c>
      <c r="C4">
        <v>3.1</v>
      </c>
      <c r="D4">
        <v>24.1</v>
      </c>
      <c r="E4">
        <v>2.6</v>
      </c>
      <c r="F4">
        <v>23.7</v>
      </c>
      <c r="G4">
        <v>4.0999999999999996</v>
      </c>
      <c r="H4">
        <v>20.100000000000001</v>
      </c>
      <c r="I4">
        <v>3.9</v>
      </c>
      <c r="J4" s="1">
        <f t="shared" si="0"/>
        <v>1.5</v>
      </c>
      <c r="K4">
        <v>1</v>
      </c>
      <c r="L4" s="1">
        <f t="shared" si="1"/>
        <v>0.91287878787878796</v>
      </c>
      <c r="M4" s="1">
        <f t="shared" si="2"/>
        <v>0.89772727272727271</v>
      </c>
      <c r="N4" s="1">
        <f t="shared" si="3"/>
        <v>0.76136363636363646</v>
      </c>
    </row>
    <row r="5" spans="1:15" x14ac:dyDescent="0.2">
      <c r="A5">
        <v>8</v>
      </c>
      <c r="B5">
        <v>33.299999999999997</v>
      </c>
      <c r="C5">
        <v>3.9</v>
      </c>
      <c r="D5">
        <v>30.1</v>
      </c>
      <c r="E5">
        <v>3.4</v>
      </c>
      <c r="F5">
        <v>29.8</v>
      </c>
      <c r="G5">
        <v>4.8</v>
      </c>
      <c r="H5">
        <v>25.8</v>
      </c>
      <c r="I5">
        <v>4.5</v>
      </c>
      <c r="J5" s="1">
        <f t="shared" si="0"/>
        <v>1.3235294117647058</v>
      </c>
      <c r="K5">
        <v>1</v>
      </c>
      <c r="L5" s="1">
        <f t="shared" si="1"/>
        <v>0.90390390390390407</v>
      </c>
      <c r="M5" s="1">
        <f t="shared" si="2"/>
        <v>0.89489489489489504</v>
      </c>
      <c r="N5" s="1">
        <f t="shared" si="3"/>
        <v>0.77477477477477485</v>
      </c>
    </row>
    <row r="6" spans="1:15" x14ac:dyDescent="0.2">
      <c r="A6">
        <v>10</v>
      </c>
      <c r="B6">
        <v>37.799999999999997</v>
      </c>
      <c r="C6">
        <v>4.4000000000000004</v>
      </c>
      <c r="D6">
        <v>34.799999999999997</v>
      </c>
      <c r="E6">
        <v>4.0999999999999996</v>
      </c>
      <c r="F6">
        <v>32.4</v>
      </c>
      <c r="G6">
        <v>5.2</v>
      </c>
      <c r="H6">
        <v>30</v>
      </c>
      <c r="I6">
        <v>5.0999999999999996</v>
      </c>
      <c r="J6" s="1">
        <f t="shared" si="0"/>
        <v>1.2439024390243902</v>
      </c>
      <c r="K6">
        <v>1</v>
      </c>
      <c r="L6" s="1">
        <f t="shared" si="1"/>
        <v>0.92063492063492058</v>
      </c>
      <c r="M6" s="1">
        <f t="shared" si="2"/>
        <v>0.85714285714285721</v>
      </c>
      <c r="N6" s="1">
        <f t="shared" si="3"/>
        <v>0.79365079365079372</v>
      </c>
    </row>
    <row r="7" spans="1:15" x14ac:dyDescent="0.2">
      <c r="A7">
        <v>12</v>
      </c>
      <c r="B7">
        <v>42.6</v>
      </c>
      <c r="C7">
        <v>5.0999999999999996</v>
      </c>
      <c r="D7">
        <v>40.4</v>
      </c>
      <c r="E7">
        <v>4.9000000000000004</v>
      </c>
      <c r="F7">
        <v>35.700000000000003</v>
      </c>
      <c r="G7">
        <v>5.8</v>
      </c>
      <c r="H7">
        <v>33.6</v>
      </c>
      <c r="I7">
        <v>5.4</v>
      </c>
      <c r="J7" s="1">
        <f t="shared" si="0"/>
        <v>1.1020408163265305</v>
      </c>
      <c r="K7">
        <v>1</v>
      </c>
      <c r="L7" s="1">
        <f t="shared" si="1"/>
        <v>0.94835680751173701</v>
      </c>
      <c r="M7" s="1">
        <f t="shared" si="2"/>
        <v>0.8380281690140845</v>
      </c>
      <c r="N7" s="1">
        <f t="shared" si="3"/>
        <v>0.78873239436619724</v>
      </c>
    </row>
    <row r="8" spans="1:15" x14ac:dyDescent="0.2">
      <c r="A8">
        <v>14</v>
      </c>
      <c r="B8">
        <v>46.9</v>
      </c>
      <c r="C8">
        <v>6</v>
      </c>
      <c r="D8">
        <v>44.9</v>
      </c>
      <c r="E8">
        <v>5.6</v>
      </c>
      <c r="F8">
        <v>39.4</v>
      </c>
      <c r="G8">
        <v>6.4</v>
      </c>
      <c r="H8">
        <v>36.9</v>
      </c>
      <c r="I8">
        <v>5.9</v>
      </c>
      <c r="J8" s="1">
        <f t="shared" si="0"/>
        <v>1.0535714285714286</v>
      </c>
      <c r="K8">
        <v>1</v>
      </c>
      <c r="L8" s="1">
        <f t="shared" si="1"/>
        <v>0.95735607675906187</v>
      </c>
      <c r="M8" s="1">
        <f t="shared" si="2"/>
        <v>0.84008528784648184</v>
      </c>
      <c r="N8" s="1">
        <f t="shared" si="3"/>
        <v>0.78678038379530912</v>
      </c>
    </row>
    <row r="9" spans="1:15" x14ac:dyDescent="0.2">
      <c r="A9">
        <v>16</v>
      </c>
      <c r="B9">
        <v>50.9</v>
      </c>
      <c r="C9">
        <v>6.6</v>
      </c>
      <c r="D9">
        <v>49.1</v>
      </c>
      <c r="E9">
        <v>6.4</v>
      </c>
      <c r="F9">
        <v>42.4</v>
      </c>
      <c r="G9">
        <v>6.7</v>
      </c>
      <c r="H9">
        <v>40.5</v>
      </c>
      <c r="I9">
        <v>6.5</v>
      </c>
      <c r="J9" s="1">
        <f t="shared" si="0"/>
        <v>1.015625</v>
      </c>
      <c r="K9">
        <v>1</v>
      </c>
      <c r="L9" s="1">
        <f t="shared" si="1"/>
        <v>0.96463654223968576</v>
      </c>
      <c r="M9" s="1">
        <f t="shared" si="2"/>
        <v>0.83300589390962676</v>
      </c>
      <c r="N9" s="1">
        <f t="shared" si="3"/>
        <v>0.79567779960707274</v>
      </c>
    </row>
    <row r="10" spans="1:15" x14ac:dyDescent="0.2">
      <c r="A10">
        <v>18</v>
      </c>
      <c r="B10">
        <v>55</v>
      </c>
      <c r="C10">
        <v>8.1</v>
      </c>
      <c r="D10">
        <v>53.6</v>
      </c>
      <c r="E10">
        <v>7.7</v>
      </c>
      <c r="F10">
        <v>44.4</v>
      </c>
      <c r="G10">
        <v>7.6</v>
      </c>
      <c r="H10">
        <v>43.1</v>
      </c>
      <c r="I10">
        <v>7.1</v>
      </c>
      <c r="J10" s="1">
        <f t="shared" si="0"/>
        <v>0.92207792207792205</v>
      </c>
      <c r="K10">
        <v>1</v>
      </c>
      <c r="L10" s="1">
        <f t="shared" si="1"/>
        <v>0.9745454545454546</v>
      </c>
      <c r="M10" s="1">
        <f t="shared" si="2"/>
        <v>0.80727272727272725</v>
      </c>
      <c r="N10" s="1">
        <f t="shared" si="3"/>
        <v>0.78363636363636369</v>
      </c>
    </row>
    <row r="11" spans="1:15" x14ac:dyDescent="0.2">
      <c r="A11">
        <v>20</v>
      </c>
      <c r="B11">
        <v>58.3</v>
      </c>
      <c r="C11">
        <v>8.6</v>
      </c>
      <c r="D11">
        <v>56.7</v>
      </c>
      <c r="E11">
        <v>8.4</v>
      </c>
      <c r="F11">
        <v>46.4</v>
      </c>
      <c r="G11">
        <v>8</v>
      </c>
      <c r="H11">
        <v>44.7</v>
      </c>
      <c r="I11">
        <v>7.7</v>
      </c>
      <c r="J11" s="1">
        <f t="shared" si="0"/>
        <v>0.91666666666666663</v>
      </c>
      <c r="K11">
        <v>1</v>
      </c>
      <c r="L11" s="1">
        <f t="shared" si="1"/>
        <v>0.97255574614065188</v>
      </c>
      <c r="M11" s="1">
        <f t="shared" si="2"/>
        <v>0.79588336192109777</v>
      </c>
      <c r="N11" s="1">
        <f t="shared" si="3"/>
        <v>0.76672384219554035</v>
      </c>
    </row>
    <row r="12" spans="1:15" x14ac:dyDescent="0.2">
      <c r="A12">
        <v>22</v>
      </c>
      <c r="B12">
        <v>62.3</v>
      </c>
      <c r="C12">
        <v>10.1</v>
      </c>
      <c r="D12">
        <v>60.4</v>
      </c>
      <c r="E12">
        <v>9.6999999999999993</v>
      </c>
      <c r="F12">
        <v>49.1</v>
      </c>
      <c r="G12">
        <v>9.1</v>
      </c>
      <c r="H12">
        <v>47.7</v>
      </c>
      <c r="I12">
        <v>9</v>
      </c>
      <c r="J12" s="1">
        <f t="shared" si="0"/>
        <v>0.92783505154639179</v>
      </c>
      <c r="K12">
        <v>1</v>
      </c>
      <c r="L12" s="1">
        <f t="shared" si="1"/>
        <v>0.9695024077046549</v>
      </c>
      <c r="M12" s="1">
        <f t="shared" si="2"/>
        <v>0.7881219903691814</v>
      </c>
      <c r="N12" s="1">
        <f t="shared" si="3"/>
        <v>0.76565008025682191</v>
      </c>
    </row>
    <row r="13" spans="1:15" x14ac:dyDescent="0.2">
      <c r="A13">
        <v>24</v>
      </c>
      <c r="B13">
        <v>66.3</v>
      </c>
      <c r="C13">
        <v>11.8</v>
      </c>
      <c r="D13">
        <v>64.7</v>
      </c>
      <c r="E13">
        <v>11.7</v>
      </c>
      <c r="F13">
        <v>51</v>
      </c>
      <c r="G13">
        <v>10.7</v>
      </c>
      <c r="H13">
        <v>50.2</v>
      </c>
      <c r="I13">
        <v>10</v>
      </c>
      <c r="J13" s="1">
        <f t="shared" si="0"/>
        <v>0.85470085470085477</v>
      </c>
      <c r="K13">
        <v>1</v>
      </c>
      <c r="L13" s="1">
        <f t="shared" si="1"/>
        <v>0.97586726998491713</v>
      </c>
      <c r="M13" s="1">
        <f t="shared" si="2"/>
        <v>0.76923076923076927</v>
      </c>
      <c r="N13" s="1">
        <f t="shared" si="3"/>
        <v>0.75716440422322784</v>
      </c>
    </row>
    <row r="14" spans="1:15" x14ac:dyDescent="0.2">
      <c r="A14">
        <v>26</v>
      </c>
      <c r="B14">
        <v>71.900000000000006</v>
      </c>
      <c r="C14">
        <v>14.8</v>
      </c>
      <c r="D14">
        <v>69.599999999999994</v>
      </c>
      <c r="E14">
        <v>14</v>
      </c>
      <c r="F14">
        <v>54.4</v>
      </c>
      <c r="G14">
        <v>12.1</v>
      </c>
      <c r="H14">
        <v>52.4</v>
      </c>
      <c r="I14">
        <v>12.3</v>
      </c>
      <c r="J14" s="1">
        <f t="shared" si="0"/>
        <v>0.87857142857142867</v>
      </c>
      <c r="K14">
        <v>1</v>
      </c>
      <c r="L14" s="1">
        <f t="shared" si="1"/>
        <v>0.96801112656467303</v>
      </c>
      <c r="M14" s="1">
        <f t="shared" si="2"/>
        <v>0.75660639777468697</v>
      </c>
      <c r="N14" s="1">
        <f t="shared" si="3"/>
        <v>0.72878998609179413</v>
      </c>
    </row>
    <row r="15" spans="1:15" x14ac:dyDescent="0.2">
      <c r="A15">
        <v>28</v>
      </c>
      <c r="B15">
        <v>73.5</v>
      </c>
      <c r="C15">
        <v>15.3</v>
      </c>
      <c r="D15">
        <v>72.2</v>
      </c>
      <c r="E15">
        <v>14.5</v>
      </c>
      <c r="F15">
        <v>55.5</v>
      </c>
      <c r="G15">
        <v>12.6</v>
      </c>
      <c r="H15">
        <v>54.2</v>
      </c>
      <c r="I15">
        <v>12.4</v>
      </c>
      <c r="J15" s="1">
        <f t="shared" si="0"/>
        <v>0.85517241379310349</v>
      </c>
      <c r="K15">
        <v>1</v>
      </c>
      <c r="L15" s="1">
        <f t="shared" si="1"/>
        <v>0.98231292517006807</v>
      </c>
      <c r="M15" s="1">
        <f t="shared" si="2"/>
        <v>0.75510204081632648</v>
      </c>
      <c r="N15" s="1">
        <f t="shared" si="3"/>
        <v>0.73741496598639455</v>
      </c>
    </row>
    <row r="16" spans="1:15" x14ac:dyDescent="0.2">
      <c r="A16">
        <v>30</v>
      </c>
      <c r="B16">
        <v>78.099999999999994</v>
      </c>
      <c r="C16">
        <v>16.600000000000001</v>
      </c>
      <c r="D16">
        <v>75.900000000000006</v>
      </c>
      <c r="E16">
        <v>15.8</v>
      </c>
      <c r="F16">
        <v>57.8</v>
      </c>
      <c r="G16">
        <v>13.6</v>
      </c>
      <c r="H16">
        <v>56.6</v>
      </c>
      <c r="I16">
        <v>13.2</v>
      </c>
      <c r="J16" s="1">
        <f t="shared" si="0"/>
        <v>0.83544303797468344</v>
      </c>
      <c r="K16">
        <v>1</v>
      </c>
      <c r="L16" s="1">
        <f t="shared" si="1"/>
        <v>0.97183098591549311</v>
      </c>
      <c r="M16" s="1">
        <f t="shared" si="2"/>
        <v>0.74007682458386681</v>
      </c>
      <c r="N16" s="1">
        <f t="shared" si="3"/>
        <v>0.72471190781049943</v>
      </c>
    </row>
    <row r="17" spans="1:14" x14ac:dyDescent="0.2">
      <c r="A17">
        <v>32</v>
      </c>
      <c r="B17">
        <v>81.099999999999994</v>
      </c>
      <c r="C17">
        <v>20.6</v>
      </c>
      <c r="D17">
        <v>79.3</v>
      </c>
      <c r="E17">
        <v>19.899999999999999</v>
      </c>
      <c r="F17">
        <v>59.2</v>
      </c>
      <c r="G17">
        <v>16.2</v>
      </c>
      <c r="H17">
        <v>58.5</v>
      </c>
      <c r="I17">
        <v>15.9</v>
      </c>
      <c r="J17" s="1">
        <f t="shared" si="0"/>
        <v>0.79899497487437199</v>
      </c>
      <c r="K17">
        <v>1</v>
      </c>
      <c r="L17" s="1">
        <f t="shared" si="1"/>
        <v>0.97780517879161533</v>
      </c>
      <c r="M17" s="1">
        <f t="shared" si="2"/>
        <v>0.72996300863131947</v>
      </c>
      <c r="N17" s="1">
        <f t="shared" si="3"/>
        <v>0.72133168927250313</v>
      </c>
    </row>
    <row r="18" spans="1:14" x14ac:dyDescent="0.2">
      <c r="A18">
        <v>34</v>
      </c>
      <c r="B18">
        <v>85.4</v>
      </c>
      <c r="C18">
        <v>25.5</v>
      </c>
      <c r="D18">
        <v>82.7</v>
      </c>
      <c r="E18">
        <v>24.4</v>
      </c>
      <c r="F18">
        <v>60.9</v>
      </c>
      <c r="G18">
        <v>20</v>
      </c>
      <c r="H18">
        <v>61.2</v>
      </c>
      <c r="I18">
        <v>19.600000000000001</v>
      </c>
      <c r="J18" s="1">
        <f t="shared" si="0"/>
        <v>0.80327868852459028</v>
      </c>
      <c r="K18">
        <v>1</v>
      </c>
      <c r="L18" s="1">
        <f t="shared" si="1"/>
        <v>0.96838407494145196</v>
      </c>
      <c r="M18" s="1">
        <f t="shared" si="2"/>
        <v>0.71311475409836056</v>
      </c>
      <c r="N18" s="1">
        <f t="shared" si="3"/>
        <v>0.71662763466042156</v>
      </c>
    </row>
    <row r="19" spans="1:14" x14ac:dyDescent="0.2">
      <c r="A19">
        <v>36</v>
      </c>
      <c r="B19">
        <v>89.1</v>
      </c>
      <c r="C19">
        <v>28.1</v>
      </c>
      <c r="D19">
        <v>87.4</v>
      </c>
      <c r="E19">
        <v>27.3</v>
      </c>
      <c r="F19">
        <v>63.2</v>
      </c>
      <c r="G19">
        <v>21.5</v>
      </c>
      <c r="H19">
        <v>63</v>
      </c>
      <c r="I19">
        <v>20.7</v>
      </c>
      <c r="J19" s="1">
        <f t="shared" si="0"/>
        <v>0.75824175824175821</v>
      </c>
      <c r="K19">
        <v>1</v>
      </c>
      <c r="L19" s="1">
        <f t="shared" si="1"/>
        <v>0.98092031425364767</v>
      </c>
      <c r="M19" s="1">
        <f t="shared" si="2"/>
        <v>0.70931537598204275</v>
      </c>
      <c r="N19" s="1">
        <f t="shared" si="3"/>
        <v>0.70707070707070707</v>
      </c>
    </row>
    <row r="20" spans="1:14" x14ac:dyDescent="0.2">
      <c r="A20">
        <v>38</v>
      </c>
      <c r="B20">
        <v>92.2</v>
      </c>
      <c r="C20">
        <v>28.6</v>
      </c>
      <c r="D20">
        <v>90.6</v>
      </c>
      <c r="E20">
        <v>28.1</v>
      </c>
      <c r="F20">
        <v>66.2</v>
      </c>
      <c r="G20">
        <v>21.9</v>
      </c>
      <c r="H20">
        <v>64.400000000000006</v>
      </c>
      <c r="I20">
        <v>21</v>
      </c>
      <c r="J20" s="1">
        <f t="shared" si="0"/>
        <v>0.74733096085409245</v>
      </c>
      <c r="K20">
        <v>1</v>
      </c>
      <c r="L20" s="1">
        <f t="shared" si="1"/>
        <v>0.98264642082429488</v>
      </c>
      <c r="M20" s="1">
        <f t="shared" si="2"/>
        <v>0.71800433839479394</v>
      </c>
      <c r="N20" s="1">
        <f t="shared" si="3"/>
        <v>0.69848156182212584</v>
      </c>
    </row>
    <row r="21" spans="1:14" x14ac:dyDescent="0.2">
      <c r="A21">
        <v>40</v>
      </c>
      <c r="B21">
        <v>95.6</v>
      </c>
      <c r="C21">
        <v>30.9</v>
      </c>
      <c r="D21">
        <v>93.6</v>
      </c>
      <c r="E21">
        <v>29.6</v>
      </c>
      <c r="F21">
        <v>67.599999999999994</v>
      </c>
      <c r="G21">
        <v>22.5</v>
      </c>
      <c r="H21">
        <v>66.3</v>
      </c>
      <c r="I21">
        <v>22</v>
      </c>
      <c r="J21" s="1">
        <f t="shared" si="0"/>
        <v>0.7432432432432432</v>
      </c>
      <c r="K21">
        <v>1</v>
      </c>
      <c r="L21" s="1">
        <f t="shared" si="1"/>
        <v>0.97907949790794979</v>
      </c>
      <c r="M21" s="1">
        <f t="shared" si="2"/>
        <v>0.70711297071129708</v>
      </c>
      <c r="N21" s="1">
        <f t="shared" si="3"/>
        <v>0.69351464435146448</v>
      </c>
    </row>
    <row r="22" spans="1:14" x14ac:dyDescent="0.2">
      <c r="A22">
        <v>60</v>
      </c>
      <c r="B22">
        <v>130.4</v>
      </c>
      <c r="C22">
        <v>46.4</v>
      </c>
      <c r="D22">
        <v>128.6</v>
      </c>
      <c r="E22">
        <v>45.4</v>
      </c>
      <c r="F22">
        <v>84.6</v>
      </c>
      <c r="G22">
        <v>31</v>
      </c>
      <c r="H22">
        <v>84.2</v>
      </c>
      <c r="I22">
        <v>30.7</v>
      </c>
      <c r="J22" s="1">
        <f t="shared" si="0"/>
        <v>0.67621145374449343</v>
      </c>
      <c r="K22">
        <v>1</v>
      </c>
      <c r="L22" s="1">
        <f t="shared" si="1"/>
        <v>0.98619631901840488</v>
      </c>
      <c r="M22" s="1">
        <f t="shared" si="2"/>
        <v>0.64877300613496924</v>
      </c>
      <c r="N22" s="1">
        <f t="shared" si="3"/>
        <v>0.64570552147239269</v>
      </c>
    </row>
    <row r="23" spans="1:14" x14ac:dyDescent="0.2">
      <c r="A23">
        <v>80</v>
      </c>
      <c r="B23">
        <v>163</v>
      </c>
      <c r="C23">
        <v>70.8</v>
      </c>
      <c r="D23">
        <v>160.80000000000001</v>
      </c>
      <c r="E23">
        <v>69.2</v>
      </c>
      <c r="F23">
        <v>100.7</v>
      </c>
      <c r="G23">
        <v>43.8</v>
      </c>
      <c r="H23">
        <v>99.9</v>
      </c>
      <c r="I23">
        <v>42.4</v>
      </c>
      <c r="J23" s="1">
        <f t="shared" si="0"/>
        <v>0.61271676300578026</v>
      </c>
      <c r="K23">
        <v>1</v>
      </c>
      <c r="L23" s="1">
        <f t="shared" si="1"/>
        <v>0.98650306748466265</v>
      </c>
      <c r="M23" s="1">
        <f t="shared" si="2"/>
        <v>0.61779141104294477</v>
      </c>
      <c r="N23" s="1">
        <f t="shared" si="3"/>
        <v>0.6128834355828221</v>
      </c>
    </row>
    <row r="24" spans="1:14" x14ac:dyDescent="0.2">
      <c r="A24">
        <v>100</v>
      </c>
      <c r="B24">
        <v>193.7</v>
      </c>
      <c r="C24">
        <v>94.3</v>
      </c>
      <c r="D24">
        <v>190.5</v>
      </c>
      <c r="E24">
        <v>92.3</v>
      </c>
      <c r="F24">
        <v>113.5</v>
      </c>
      <c r="G24">
        <v>54.4</v>
      </c>
      <c r="H24">
        <v>114</v>
      </c>
      <c r="I24">
        <v>54.5</v>
      </c>
      <c r="J24" s="1">
        <f t="shared" si="0"/>
        <v>0.59046587215601298</v>
      </c>
      <c r="K24">
        <v>1</v>
      </c>
      <c r="L24" s="1">
        <f t="shared" si="1"/>
        <v>0.98347960764068154</v>
      </c>
      <c r="M24" s="1">
        <f t="shared" si="2"/>
        <v>0.58595766649457925</v>
      </c>
      <c r="N24" s="1">
        <f t="shared" si="3"/>
        <v>0.58853897780072284</v>
      </c>
    </row>
    <row r="25" spans="1:14" x14ac:dyDescent="0.2">
      <c r="A25">
        <v>120</v>
      </c>
      <c r="B25">
        <v>224.4</v>
      </c>
      <c r="C25">
        <v>123.6</v>
      </c>
      <c r="D25">
        <v>221.2</v>
      </c>
      <c r="E25">
        <v>119.9</v>
      </c>
      <c r="F25">
        <v>127.8</v>
      </c>
      <c r="G25">
        <v>67.3</v>
      </c>
      <c r="H25">
        <v>127.5</v>
      </c>
      <c r="I25">
        <v>67.3</v>
      </c>
      <c r="J25" s="1">
        <f t="shared" si="0"/>
        <v>0.56130108423686398</v>
      </c>
      <c r="K25">
        <v>1</v>
      </c>
      <c r="L25" s="1">
        <f t="shared" si="1"/>
        <v>0.98573975044563267</v>
      </c>
      <c r="M25" s="1">
        <f t="shared" si="2"/>
        <v>0.56951871657754005</v>
      </c>
      <c r="N25" s="1">
        <f t="shared" si="3"/>
        <v>0.56818181818181812</v>
      </c>
    </row>
    <row r="26" spans="1:14" x14ac:dyDescent="0.2">
      <c r="A26">
        <v>140</v>
      </c>
      <c r="B26">
        <v>254.4</v>
      </c>
      <c r="C26">
        <v>207.8</v>
      </c>
      <c r="D26">
        <v>251</v>
      </c>
      <c r="E26">
        <v>203.9</v>
      </c>
      <c r="F26">
        <v>139.4</v>
      </c>
      <c r="G26">
        <v>108.7</v>
      </c>
      <c r="H26">
        <v>139.30000000000001</v>
      </c>
      <c r="I26">
        <v>109.1</v>
      </c>
      <c r="J26" s="1">
        <f t="shared" si="0"/>
        <v>0.53506620892594403</v>
      </c>
      <c r="K26">
        <v>1</v>
      </c>
      <c r="L26" s="1">
        <f t="shared" si="1"/>
        <v>0.98663522012578619</v>
      </c>
      <c r="M26" s="1">
        <f t="shared" si="2"/>
        <v>0.54795597484276726</v>
      </c>
      <c r="N26" s="1">
        <f t="shared" si="3"/>
        <v>0.54756289308176109</v>
      </c>
    </row>
    <row r="27" spans="1:14" x14ac:dyDescent="0.2">
      <c r="A27">
        <v>160</v>
      </c>
      <c r="B27">
        <v>285.60000000000002</v>
      </c>
      <c r="C27">
        <v>192.3</v>
      </c>
      <c r="D27">
        <v>282.3</v>
      </c>
      <c r="E27">
        <v>189.1</v>
      </c>
      <c r="F27">
        <v>153</v>
      </c>
      <c r="G27">
        <v>97.3</v>
      </c>
      <c r="H27">
        <v>152.80000000000001</v>
      </c>
      <c r="I27">
        <v>98</v>
      </c>
      <c r="J27" s="1">
        <f t="shared" si="0"/>
        <v>0.51824431517715497</v>
      </c>
      <c r="K27">
        <v>1</v>
      </c>
      <c r="L27" s="1">
        <f t="shared" si="1"/>
        <v>0.98844537815126043</v>
      </c>
      <c r="M27" s="1">
        <f t="shared" si="2"/>
        <v>0.5357142857142857</v>
      </c>
      <c r="N27" s="1">
        <f t="shared" si="3"/>
        <v>0.53501400560224088</v>
      </c>
    </row>
    <row r="28" spans="1:14" x14ac:dyDescent="0.2">
      <c r="A28">
        <v>180</v>
      </c>
      <c r="B28">
        <v>309.3</v>
      </c>
      <c r="C28">
        <v>229.7</v>
      </c>
      <c r="D28">
        <v>309.3</v>
      </c>
      <c r="E28">
        <v>227.7</v>
      </c>
      <c r="F28">
        <v>164.2</v>
      </c>
      <c r="G28">
        <v>114.4</v>
      </c>
      <c r="H28">
        <v>163.6</v>
      </c>
      <c r="I28">
        <v>113.3</v>
      </c>
      <c r="J28" s="1">
        <f t="shared" si="0"/>
        <v>0.49758454106280192</v>
      </c>
      <c r="K28">
        <v>1</v>
      </c>
      <c r="L28" s="1">
        <f t="shared" si="1"/>
        <v>1</v>
      </c>
      <c r="M28" s="1">
        <f t="shared" si="2"/>
        <v>0.53087617200129322</v>
      </c>
      <c r="N28" s="1">
        <f t="shared" si="3"/>
        <v>0.52893630779178791</v>
      </c>
    </row>
    <row r="29" spans="1:14" x14ac:dyDescent="0.2">
      <c r="A29">
        <v>200</v>
      </c>
      <c r="B29">
        <v>339.6</v>
      </c>
      <c r="C29">
        <v>288.10000000000002</v>
      </c>
      <c r="D29">
        <v>335.9</v>
      </c>
      <c r="E29">
        <v>282.2</v>
      </c>
      <c r="F29">
        <v>175.6</v>
      </c>
      <c r="G29">
        <v>137.69999999999999</v>
      </c>
      <c r="H29">
        <v>174.4</v>
      </c>
      <c r="I29">
        <v>136.80000000000001</v>
      </c>
      <c r="J29" s="1">
        <f t="shared" si="0"/>
        <v>0.48476257973068754</v>
      </c>
      <c r="K29">
        <v>1</v>
      </c>
      <c r="L29" s="1">
        <f t="shared" si="1"/>
        <v>0.98910482921083609</v>
      </c>
      <c r="M29" s="1">
        <f t="shared" si="2"/>
        <v>0.51707891637220249</v>
      </c>
      <c r="N29" s="1">
        <f t="shared" si="3"/>
        <v>0.51354534746760894</v>
      </c>
    </row>
    <row r="30" spans="1:14" x14ac:dyDescent="0.2">
      <c r="A30">
        <v>300</v>
      </c>
      <c r="B30">
        <v>467.2</v>
      </c>
      <c r="C30">
        <v>586.5</v>
      </c>
      <c r="D30">
        <v>465.1</v>
      </c>
      <c r="E30">
        <v>582.9</v>
      </c>
      <c r="F30">
        <v>223.4</v>
      </c>
      <c r="G30">
        <v>250.6</v>
      </c>
      <c r="H30">
        <v>223.6</v>
      </c>
      <c r="I30">
        <v>250.6</v>
      </c>
      <c r="J30" s="1">
        <f t="shared" si="0"/>
        <v>0.42991936867387204</v>
      </c>
      <c r="K30">
        <v>1</v>
      </c>
      <c r="L30" s="1">
        <f t="shared" si="1"/>
        <v>0.9955051369863015</v>
      </c>
      <c r="M30" s="1">
        <f t="shared" si="2"/>
        <v>0.47816780821917809</v>
      </c>
      <c r="N30" s="1">
        <f t="shared" si="3"/>
        <v>0.4785958904109589</v>
      </c>
    </row>
    <row r="31" spans="1:14" x14ac:dyDescent="0.2">
      <c r="A31">
        <v>400</v>
      </c>
      <c r="B31">
        <v>584.9</v>
      </c>
      <c r="C31">
        <v>918.8</v>
      </c>
      <c r="D31">
        <v>580.4</v>
      </c>
      <c r="E31">
        <v>913.9</v>
      </c>
      <c r="F31">
        <v>265.2</v>
      </c>
      <c r="G31">
        <v>353.9</v>
      </c>
      <c r="H31">
        <v>264.3</v>
      </c>
      <c r="I31">
        <v>353</v>
      </c>
      <c r="J31" s="1">
        <f t="shared" si="0"/>
        <v>0.38625670204617574</v>
      </c>
      <c r="K31">
        <v>1</v>
      </c>
      <c r="L31" s="1">
        <f t="shared" si="1"/>
        <v>0.99230637715848868</v>
      </c>
      <c r="M31" s="1">
        <f t="shared" si="2"/>
        <v>0.4534108394597367</v>
      </c>
      <c r="N31" s="1">
        <f t="shared" si="3"/>
        <v>0.45187211489143447</v>
      </c>
    </row>
    <row r="32" spans="1:14" x14ac:dyDescent="0.2">
      <c r="A32">
        <v>500</v>
      </c>
      <c r="B32">
        <v>693.6</v>
      </c>
      <c r="C32">
        <v>1257.3</v>
      </c>
      <c r="D32">
        <v>688.5</v>
      </c>
      <c r="E32">
        <v>1245.0999999999999</v>
      </c>
      <c r="F32">
        <v>302.3</v>
      </c>
      <c r="G32">
        <v>443.9</v>
      </c>
      <c r="H32">
        <v>300.2</v>
      </c>
      <c r="I32">
        <v>444.8</v>
      </c>
      <c r="J32" s="1">
        <f t="shared" si="0"/>
        <v>0.3572403822986106</v>
      </c>
      <c r="K32">
        <v>1</v>
      </c>
      <c r="L32" s="1">
        <f t="shared" si="1"/>
        <v>0.99264705882352933</v>
      </c>
      <c r="M32" s="1">
        <f t="shared" si="2"/>
        <v>0.4358419838523645</v>
      </c>
      <c r="N32" s="1">
        <f t="shared" si="3"/>
        <v>0.43281430219146477</v>
      </c>
    </row>
    <row r="33" spans="1:14" x14ac:dyDescent="0.2">
      <c r="A33">
        <v>600</v>
      </c>
      <c r="B33">
        <v>790.9</v>
      </c>
      <c r="C33">
        <v>1703.8</v>
      </c>
      <c r="D33">
        <v>788.6</v>
      </c>
      <c r="E33">
        <v>1683.2</v>
      </c>
      <c r="F33">
        <v>333.6</v>
      </c>
      <c r="G33">
        <v>561.4</v>
      </c>
      <c r="H33">
        <v>333</v>
      </c>
      <c r="I33">
        <v>568.29999999999995</v>
      </c>
      <c r="J33" s="1">
        <f t="shared" si="0"/>
        <v>0.3376307034220532</v>
      </c>
      <c r="K33">
        <v>1</v>
      </c>
      <c r="L33" s="1">
        <f t="shared" si="1"/>
        <v>0.99709192059678853</v>
      </c>
      <c r="M33" s="1">
        <f t="shared" si="2"/>
        <v>0.42179795170059431</v>
      </c>
      <c r="N33" s="1">
        <f t="shared" si="3"/>
        <v>0.42103932229106084</v>
      </c>
    </row>
    <row r="34" spans="1:14" x14ac:dyDescent="0.2">
      <c r="A34">
        <v>700</v>
      </c>
      <c r="B34">
        <v>883.8</v>
      </c>
      <c r="C34">
        <v>2177</v>
      </c>
      <c r="D34">
        <v>874.5</v>
      </c>
      <c r="E34">
        <v>2153.8000000000002</v>
      </c>
      <c r="F34">
        <v>361.4</v>
      </c>
      <c r="G34">
        <v>679.6</v>
      </c>
      <c r="H34">
        <v>362.8</v>
      </c>
      <c r="I34">
        <v>682.9</v>
      </c>
      <c r="J34" s="1">
        <f t="shared" si="0"/>
        <v>0.31706750858946975</v>
      </c>
      <c r="K34">
        <v>1</v>
      </c>
      <c r="L34" s="1">
        <f t="shared" si="1"/>
        <v>0.98947725729803127</v>
      </c>
      <c r="M34" s="1">
        <f t="shared" si="2"/>
        <v>0.4089160443539262</v>
      </c>
      <c r="N34" s="1">
        <f t="shared" si="3"/>
        <v>0.41050011314777102</v>
      </c>
    </row>
    <row r="35" spans="1:14" x14ac:dyDescent="0.2">
      <c r="A35">
        <v>800</v>
      </c>
      <c r="B35">
        <v>968.4</v>
      </c>
      <c r="C35">
        <v>2945.4</v>
      </c>
      <c r="D35">
        <v>961.1</v>
      </c>
      <c r="E35">
        <v>2930.3</v>
      </c>
      <c r="F35">
        <v>386.7</v>
      </c>
      <c r="G35">
        <v>868.4</v>
      </c>
      <c r="H35">
        <v>388.7</v>
      </c>
      <c r="I35">
        <v>874.4</v>
      </c>
      <c r="J35" s="1">
        <f t="shared" si="0"/>
        <v>0.29839948128178001</v>
      </c>
      <c r="K35">
        <v>1</v>
      </c>
      <c r="L35" s="1">
        <f t="shared" si="1"/>
        <v>0.99246179264766632</v>
      </c>
      <c r="M35" s="1">
        <f t="shared" si="2"/>
        <v>0.3993184634448575</v>
      </c>
      <c r="N35" s="1">
        <f t="shared" si="3"/>
        <v>0.40138372573316811</v>
      </c>
    </row>
    <row r="36" spans="1:14" x14ac:dyDescent="0.2">
      <c r="A36">
        <v>900</v>
      </c>
      <c r="B36">
        <v>1050.3</v>
      </c>
      <c r="C36">
        <v>3625.4</v>
      </c>
      <c r="D36">
        <v>1044.5999999999999</v>
      </c>
      <c r="E36">
        <v>3614.7</v>
      </c>
      <c r="F36">
        <v>411.3</v>
      </c>
      <c r="G36">
        <v>1027.5999999999999</v>
      </c>
      <c r="H36">
        <v>412.7</v>
      </c>
      <c r="I36">
        <v>1031.5</v>
      </c>
      <c r="J36" s="1">
        <f t="shared" si="0"/>
        <v>0.28536254737599248</v>
      </c>
      <c r="K36">
        <v>1</v>
      </c>
      <c r="L36" s="1">
        <f t="shared" si="1"/>
        <v>0.9945729791488146</v>
      </c>
      <c r="M36" s="1">
        <f t="shared" si="2"/>
        <v>0.3916023993144816</v>
      </c>
      <c r="N36" s="1">
        <f t="shared" si="3"/>
        <v>0.39293535180424644</v>
      </c>
    </row>
    <row r="37" spans="1:14" x14ac:dyDescent="0.2">
      <c r="A37">
        <v>1000</v>
      </c>
      <c r="B37">
        <v>1127.4000000000001</v>
      </c>
      <c r="C37">
        <v>4049.9</v>
      </c>
      <c r="D37">
        <v>1121.8</v>
      </c>
      <c r="E37">
        <v>4021.1</v>
      </c>
      <c r="F37">
        <v>435.9</v>
      </c>
      <c r="G37">
        <v>1091</v>
      </c>
      <c r="H37">
        <v>436</v>
      </c>
      <c r="I37">
        <v>1102.9000000000001</v>
      </c>
      <c r="J37" s="1">
        <f t="shared" si="0"/>
        <v>0.27427818258685438</v>
      </c>
      <c r="K37">
        <v>1</v>
      </c>
      <c r="L37" s="1">
        <f t="shared" si="1"/>
        <v>0.99503281887528816</v>
      </c>
      <c r="M37" s="1">
        <f t="shared" si="2"/>
        <v>0.38664183076104308</v>
      </c>
      <c r="N37" s="1">
        <f t="shared" si="3"/>
        <v>0.38673053042398436</v>
      </c>
    </row>
    <row r="38" spans="1:14" x14ac:dyDescent="0.2">
      <c r="A38">
        <v>1100</v>
      </c>
      <c r="B38">
        <v>1202.7</v>
      </c>
      <c r="C38">
        <v>4103.8999999999996</v>
      </c>
      <c r="D38">
        <v>1200</v>
      </c>
      <c r="E38">
        <v>4089.1</v>
      </c>
      <c r="F38">
        <v>454.8</v>
      </c>
      <c r="G38">
        <v>1065.0999999999999</v>
      </c>
      <c r="H38">
        <v>457.6</v>
      </c>
      <c r="I38">
        <v>1065.0999999999999</v>
      </c>
      <c r="J38" s="1">
        <f t="shared" si="0"/>
        <v>0.26047296471106107</v>
      </c>
      <c r="K38">
        <v>1</v>
      </c>
      <c r="L38" s="1">
        <f t="shared" si="1"/>
        <v>0.99775505113494634</v>
      </c>
      <c r="M38" s="1">
        <f t="shared" si="2"/>
        <v>0.37814916438014468</v>
      </c>
      <c r="N38" s="1">
        <f t="shared" si="3"/>
        <v>0.38047725949945954</v>
      </c>
    </row>
    <row r="39" spans="1:14" x14ac:dyDescent="0.2">
      <c r="A39">
        <v>1200</v>
      </c>
      <c r="B39">
        <v>1273.3</v>
      </c>
      <c r="C39">
        <v>4825.1000000000004</v>
      </c>
      <c r="D39">
        <v>1266.0999999999999</v>
      </c>
      <c r="E39">
        <v>4802.7</v>
      </c>
      <c r="F39">
        <v>477.9</v>
      </c>
      <c r="G39">
        <v>1202.7</v>
      </c>
      <c r="H39">
        <v>478.9</v>
      </c>
      <c r="I39">
        <v>1209.3</v>
      </c>
      <c r="J39" s="1">
        <f t="shared" si="0"/>
        <v>0.25179586482603533</v>
      </c>
      <c r="K39">
        <v>1</v>
      </c>
      <c r="L39" s="1">
        <f t="shared" si="1"/>
        <v>0.99434540171208663</v>
      </c>
      <c r="M39" s="1">
        <f t="shared" si="2"/>
        <v>0.37532396136024504</v>
      </c>
      <c r="N39" s="1">
        <f t="shared" si="3"/>
        <v>0.3761093222335663</v>
      </c>
    </row>
    <row r="40" spans="1:14" x14ac:dyDescent="0.2">
      <c r="A40">
        <v>1300</v>
      </c>
      <c r="B40">
        <v>1337.1</v>
      </c>
      <c r="C40">
        <v>5924.7</v>
      </c>
      <c r="D40">
        <v>1329.6</v>
      </c>
      <c r="E40">
        <v>5880</v>
      </c>
      <c r="F40">
        <v>495.6</v>
      </c>
      <c r="G40">
        <v>1438</v>
      </c>
      <c r="H40">
        <v>495.4</v>
      </c>
      <c r="I40">
        <v>1438.7</v>
      </c>
      <c r="J40" s="1">
        <f t="shared" si="0"/>
        <v>0.24467687074829933</v>
      </c>
      <c r="K40">
        <v>1</v>
      </c>
      <c r="L40" s="1">
        <f t="shared" si="1"/>
        <v>0.99439084586044424</v>
      </c>
      <c r="M40" s="1">
        <f t="shared" si="2"/>
        <v>0.37065290554184432</v>
      </c>
      <c r="N40" s="1">
        <f t="shared" si="3"/>
        <v>0.37050332809812281</v>
      </c>
    </row>
    <row r="41" spans="1:14" x14ac:dyDescent="0.2">
      <c r="A41">
        <v>1400</v>
      </c>
      <c r="B41">
        <v>1396.1</v>
      </c>
      <c r="C41">
        <v>6497.6</v>
      </c>
      <c r="D41">
        <v>1388.5</v>
      </c>
      <c r="E41">
        <v>6448.1</v>
      </c>
      <c r="F41">
        <v>512</v>
      </c>
      <c r="G41">
        <v>1526.7</v>
      </c>
      <c r="H41">
        <v>514.6</v>
      </c>
      <c r="I41">
        <v>1530</v>
      </c>
      <c r="J41" s="1">
        <f t="shared" si="0"/>
        <v>0.23727919852359608</v>
      </c>
      <c r="K41">
        <v>1</v>
      </c>
      <c r="L41" s="1">
        <f t="shared" si="1"/>
        <v>0.99455626387794582</v>
      </c>
      <c r="M41" s="1">
        <f t="shared" si="2"/>
        <v>0.36673590716997351</v>
      </c>
      <c r="N41" s="1">
        <f t="shared" si="3"/>
        <v>0.36859823794857105</v>
      </c>
    </row>
    <row r="42" spans="1:14" x14ac:dyDescent="0.2">
      <c r="A42">
        <v>1500</v>
      </c>
      <c r="B42">
        <v>1459.1</v>
      </c>
      <c r="C42">
        <v>7324.6</v>
      </c>
      <c r="D42">
        <v>1451.5</v>
      </c>
      <c r="E42">
        <v>7277.9</v>
      </c>
      <c r="F42">
        <v>530.29999999999995</v>
      </c>
      <c r="G42">
        <v>1676</v>
      </c>
      <c r="H42">
        <v>532</v>
      </c>
      <c r="I42">
        <v>1675.3</v>
      </c>
      <c r="J42" s="1">
        <f t="shared" si="0"/>
        <v>0.23019002734305227</v>
      </c>
      <c r="K42">
        <v>1</v>
      </c>
      <c r="L42" s="1">
        <f t="shared" si="1"/>
        <v>0.99479130971146601</v>
      </c>
      <c r="M42" s="1">
        <f t="shared" si="2"/>
        <v>0.36344321842231514</v>
      </c>
      <c r="N42" s="1">
        <f t="shared" si="3"/>
        <v>0.36460832019738199</v>
      </c>
    </row>
    <row r="43" spans="1:14" x14ac:dyDescent="0.2">
      <c r="A43">
        <v>1600</v>
      </c>
      <c r="B43">
        <v>1514.8</v>
      </c>
      <c r="C43">
        <v>20746.7</v>
      </c>
      <c r="D43">
        <v>1510</v>
      </c>
      <c r="E43">
        <v>34416.400000000001</v>
      </c>
      <c r="F43">
        <v>545.29999999999995</v>
      </c>
      <c r="G43">
        <v>1971.8</v>
      </c>
      <c r="H43">
        <v>545.79999999999995</v>
      </c>
      <c r="I43">
        <v>3397</v>
      </c>
      <c r="J43" s="1">
        <f t="shared" si="0"/>
        <v>9.8702943945328386E-2</v>
      </c>
      <c r="K43">
        <v>1</v>
      </c>
      <c r="L43" s="1">
        <f t="shared" si="1"/>
        <v>0.99683126485344598</v>
      </c>
      <c r="M43" s="1">
        <f t="shared" si="2"/>
        <v>0.35998151571164511</v>
      </c>
      <c r="N43" s="1">
        <f t="shared" si="3"/>
        <v>0.36031159228941112</v>
      </c>
    </row>
    <row r="44" spans="1:14" x14ac:dyDescent="0.2">
      <c r="A44">
        <v>1700</v>
      </c>
      <c r="B44">
        <v>1574.2</v>
      </c>
      <c r="C44">
        <v>93636.800000000003</v>
      </c>
      <c r="D44">
        <v>1569.5</v>
      </c>
      <c r="E44">
        <v>39831.699999999997</v>
      </c>
      <c r="F44">
        <v>564</v>
      </c>
      <c r="G44">
        <v>2382</v>
      </c>
      <c r="H44">
        <v>562.20000000000005</v>
      </c>
      <c r="I44">
        <v>4196.7</v>
      </c>
      <c r="J44" s="1">
        <f t="shared" si="0"/>
        <v>0.10536080558951789</v>
      </c>
      <c r="K44">
        <v>1</v>
      </c>
      <c r="L44" s="1">
        <f t="shared" si="1"/>
        <v>0.99701435649853887</v>
      </c>
      <c r="M44" s="1">
        <f t="shared" si="2"/>
        <v>0.35827722017532715</v>
      </c>
      <c r="N44" s="1">
        <f t="shared" si="3"/>
        <v>0.35713378223859737</v>
      </c>
    </row>
    <row r="45" spans="1:14" x14ac:dyDescent="0.2">
      <c r="A45">
        <v>1800</v>
      </c>
      <c r="B45">
        <v>1629.7</v>
      </c>
      <c r="C45">
        <v>10325.700000000001</v>
      </c>
      <c r="D45">
        <v>1620.7</v>
      </c>
      <c r="E45">
        <v>10279.5</v>
      </c>
      <c r="F45">
        <v>576.4</v>
      </c>
      <c r="G45">
        <v>2192.1</v>
      </c>
      <c r="H45">
        <v>575.4</v>
      </c>
      <c r="I45">
        <v>2206.1</v>
      </c>
      <c r="J45" s="1">
        <f t="shared" si="0"/>
        <v>0.21461160562284157</v>
      </c>
      <c r="K45">
        <v>1</v>
      </c>
      <c r="L45" s="1">
        <f t="shared" si="1"/>
        <v>0.99447751119838002</v>
      </c>
      <c r="M45" s="1">
        <f t="shared" si="2"/>
        <v>0.35368472725041417</v>
      </c>
      <c r="N45" s="1">
        <f t="shared" si="3"/>
        <v>0.3530711173835675</v>
      </c>
    </row>
    <row r="46" spans="1:14" x14ac:dyDescent="0.2">
      <c r="A46">
        <v>1900</v>
      </c>
      <c r="B46">
        <v>1670.8</v>
      </c>
      <c r="C46">
        <v>11407.9</v>
      </c>
      <c r="D46">
        <v>1671.4</v>
      </c>
      <c r="E46">
        <v>11415.1</v>
      </c>
      <c r="F46">
        <v>589.6</v>
      </c>
      <c r="G46">
        <v>2375.6</v>
      </c>
      <c r="H46">
        <v>589.5</v>
      </c>
      <c r="I46">
        <v>2393.3000000000002</v>
      </c>
      <c r="J46" s="1">
        <f t="shared" si="0"/>
        <v>0.20966088777146061</v>
      </c>
      <c r="K46">
        <v>1</v>
      </c>
      <c r="L46" s="1">
        <f t="shared" si="1"/>
        <v>1.0003591094086666</v>
      </c>
      <c r="M46" s="1">
        <f t="shared" si="2"/>
        <v>0.3528848455829543</v>
      </c>
      <c r="N46" s="1">
        <f t="shared" si="3"/>
        <v>0.35282499401484319</v>
      </c>
    </row>
    <row r="47" spans="1:14" x14ac:dyDescent="0.2">
      <c r="L47" s="1"/>
      <c r="M47" s="1"/>
      <c r="N47" s="1"/>
    </row>
    <row r="48" spans="1:14" x14ac:dyDescent="0.2">
      <c r="L48" s="1"/>
      <c r="M48" s="1"/>
      <c r="N48" s="1"/>
    </row>
    <row r="49" spans="12:14" x14ac:dyDescent="0.2">
      <c r="L49" s="1"/>
      <c r="M49" s="1"/>
      <c r="N49" s="1"/>
    </row>
    <row r="50" spans="12:14" x14ac:dyDescent="0.2">
      <c r="L50" s="1"/>
      <c r="M50" s="1"/>
      <c r="N50" s="1"/>
    </row>
    <row r="51" spans="12:14" x14ac:dyDescent="0.2">
      <c r="L51" s="1"/>
      <c r="M51" s="1"/>
      <c r="N51" s="1"/>
    </row>
    <row r="52" spans="12:14" x14ac:dyDescent="0.2">
      <c r="L52" s="1"/>
      <c r="M52" s="1"/>
      <c r="N52" s="1"/>
    </row>
    <row r="53" spans="12:14" x14ac:dyDescent="0.2">
      <c r="L53" s="1"/>
      <c r="M53" s="1"/>
      <c r="N53" s="1"/>
    </row>
    <row r="54" spans="12:14" x14ac:dyDescent="0.2">
      <c r="L54" s="1"/>
      <c r="M54" s="1"/>
      <c r="N54" s="1"/>
    </row>
    <row r="55" spans="12:14" x14ac:dyDescent="0.2">
      <c r="L55" s="1"/>
      <c r="M55" s="1"/>
      <c r="N55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F460-F86E-7C4A-B7F3-1237ED3448DF}">
  <dimension ref="A1:N57"/>
  <sheetViews>
    <sheetView topLeftCell="C1" workbookViewId="0">
      <selection activeCell="J1" sqref="J1:J104857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10</v>
      </c>
      <c r="C2">
        <v>1</v>
      </c>
      <c r="D2">
        <v>7.1</v>
      </c>
      <c r="E2">
        <v>1.2</v>
      </c>
      <c r="F2">
        <v>9.9</v>
      </c>
      <c r="G2">
        <v>3</v>
      </c>
      <c r="H2">
        <v>6.5</v>
      </c>
      <c r="I2">
        <v>2.8</v>
      </c>
      <c r="J2" s="1">
        <f t="shared" ref="J2:J46" si="0">I2/E2</f>
        <v>2.3333333333333335</v>
      </c>
      <c r="K2">
        <v>1</v>
      </c>
      <c r="L2" s="1">
        <f t="shared" ref="L2:L29" si="1">D2/B2</f>
        <v>0.71</v>
      </c>
      <c r="M2" s="1">
        <f t="shared" ref="M2:M29" si="2">F2/B2</f>
        <v>0.99</v>
      </c>
      <c r="N2" s="1">
        <f t="shared" ref="N2:N29" si="3">H2/B2</f>
        <v>0.65</v>
      </c>
    </row>
    <row r="3" spans="1:14" x14ac:dyDescent="0.2">
      <c r="A3">
        <v>4</v>
      </c>
      <c r="B3">
        <v>17</v>
      </c>
      <c r="C3">
        <v>1.6</v>
      </c>
      <c r="D3">
        <v>14.8</v>
      </c>
      <c r="E3">
        <v>1.5</v>
      </c>
      <c r="F3">
        <v>14.7</v>
      </c>
      <c r="G3">
        <v>3.3</v>
      </c>
      <c r="H3">
        <v>12.6</v>
      </c>
      <c r="I3">
        <v>3.2</v>
      </c>
      <c r="J3" s="1">
        <f t="shared" si="0"/>
        <v>2.1333333333333333</v>
      </c>
      <c r="K3">
        <v>1</v>
      </c>
      <c r="L3" s="1">
        <f t="shared" si="1"/>
        <v>0.87058823529411766</v>
      </c>
      <c r="M3" s="1">
        <f t="shared" si="2"/>
        <v>0.8647058823529411</v>
      </c>
      <c r="N3" s="1">
        <f t="shared" si="3"/>
        <v>0.74117647058823533</v>
      </c>
    </row>
    <row r="4" spans="1:14" x14ac:dyDescent="0.2">
      <c r="A4">
        <v>6</v>
      </c>
      <c r="B4">
        <v>24.3</v>
      </c>
      <c r="C4">
        <v>2.1</v>
      </c>
      <c r="D4">
        <v>21.5</v>
      </c>
      <c r="E4">
        <v>2</v>
      </c>
      <c r="F4">
        <v>20</v>
      </c>
      <c r="G4">
        <v>3.7</v>
      </c>
      <c r="H4">
        <v>17.600000000000001</v>
      </c>
      <c r="I4">
        <v>3.6</v>
      </c>
      <c r="J4" s="1">
        <f t="shared" si="0"/>
        <v>1.8</v>
      </c>
      <c r="K4">
        <v>1</v>
      </c>
      <c r="L4" s="1">
        <f t="shared" si="1"/>
        <v>0.8847736625514403</v>
      </c>
      <c r="M4" s="1">
        <f t="shared" si="2"/>
        <v>0.82304526748971196</v>
      </c>
      <c r="N4" s="1">
        <f t="shared" si="3"/>
        <v>0.72427983539094654</v>
      </c>
    </row>
    <row r="5" spans="1:14" x14ac:dyDescent="0.2">
      <c r="A5">
        <v>8</v>
      </c>
      <c r="B5">
        <v>29.7</v>
      </c>
      <c r="C5">
        <v>2.8</v>
      </c>
      <c r="D5">
        <v>26.7</v>
      </c>
      <c r="E5">
        <v>2.7</v>
      </c>
      <c r="F5">
        <v>24</v>
      </c>
      <c r="G5">
        <v>4.4000000000000004</v>
      </c>
      <c r="H5">
        <v>21.9</v>
      </c>
      <c r="I5">
        <v>4.5</v>
      </c>
      <c r="J5" s="1">
        <f t="shared" si="0"/>
        <v>1.6666666666666665</v>
      </c>
      <c r="K5">
        <v>1</v>
      </c>
      <c r="L5" s="1">
        <f t="shared" si="1"/>
        <v>0.89898989898989901</v>
      </c>
      <c r="M5" s="1">
        <f t="shared" si="2"/>
        <v>0.80808080808080807</v>
      </c>
      <c r="N5" s="1">
        <f t="shared" si="3"/>
        <v>0.73737373737373735</v>
      </c>
    </row>
    <row r="6" spans="1:14" x14ac:dyDescent="0.2">
      <c r="A6">
        <v>10</v>
      </c>
      <c r="B6">
        <v>34.700000000000003</v>
      </c>
      <c r="C6">
        <v>3.4</v>
      </c>
      <c r="D6">
        <v>32.6</v>
      </c>
      <c r="E6">
        <v>3.2</v>
      </c>
      <c r="F6">
        <v>27.6</v>
      </c>
      <c r="G6">
        <v>4.7</v>
      </c>
      <c r="H6">
        <v>25.7</v>
      </c>
      <c r="I6">
        <v>4.5999999999999996</v>
      </c>
      <c r="J6" s="1">
        <f t="shared" si="0"/>
        <v>1.4374999999999998</v>
      </c>
      <c r="K6">
        <v>1</v>
      </c>
      <c r="L6" s="1">
        <f t="shared" si="1"/>
        <v>0.93948126801152732</v>
      </c>
      <c r="M6" s="1">
        <f t="shared" si="2"/>
        <v>0.79538904899135443</v>
      </c>
      <c r="N6" s="1">
        <f t="shared" si="3"/>
        <v>0.74063400576368865</v>
      </c>
    </row>
    <row r="7" spans="1:14" x14ac:dyDescent="0.2">
      <c r="A7">
        <v>12</v>
      </c>
      <c r="B7">
        <v>38.200000000000003</v>
      </c>
      <c r="C7">
        <v>4.4000000000000004</v>
      </c>
      <c r="D7">
        <v>36.5</v>
      </c>
      <c r="E7">
        <v>4</v>
      </c>
      <c r="F7">
        <v>30.3</v>
      </c>
      <c r="G7">
        <v>5.4</v>
      </c>
      <c r="H7">
        <v>29.2</v>
      </c>
      <c r="I7">
        <v>5.3</v>
      </c>
      <c r="J7" s="1">
        <f t="shared" si="0"/>
        <v>1.325</v>
      </c>
      <c r="K7">
        <v>1</v>
      </c>
      <c r="L7" s="1">
        <f t="shared" si="1"/>
        <v>0.95549738219895286</v>
      </c>
      <c r="M7" s="1">
        <f t="shared" si="2"/>
        <v>0.79319371727748689</v>
      </c>
      <c r="N7" s="1">
        <f t="shared" si="3"/>
        <v>0.76439790575916222</v>
      </c>
    </row>
    <row r="8" spans="1:14" x14ac:dyDescent="0.2">
      <c r="A8">
        <v>14</v>
      </c>
      <c r="B8">
        <v>42.2</v>
      </c>
      <c r="C8">
        <v>5.2</v>
      </c>
      <c r="D8">
        <v>40.5</v>
      </c>
      <c r="E8">
        <v>5</v>
      </c>
      <c r="F8">
        <v>32.6</v>
      </c>
      <c r="G8">
        <v>6.2</v>
      </c>
      <c r="H8">
        <v>31.4</v>
      </c>
      <c r="I8">
        <v>6.2</v>
      </c>
      <c r="J8" s="1">
        <f t="shared" si="0"/>
        <v>1.24</v>
      </c>
      <c r="K8">
        <v>1</v>
      </c>
      <c r="L8" s="1">
        <f t="shared" si="1"/>
        <v>0.95971563981042651</v>
      </c>
      <c r="M8" s="1">
        <f t="shared" si="2"/>
        <v>0.77251184834123221</v>
      </c>
      <c r="N8" s="1">
        <f t="shared" si="3"/>
        <v>0.74407582938388617</v>
      </c>
    </row>
    <row r="9" spans="1:14" x14ac:dyDescent="0.2">
      <c r="A9">
        <v>16</v>
      </c>
      <c r="B9">
        <v>46.7</v>
      </c>
      <c r="C9">
        <v>5.7</v>
      </c>
      <c r="D9">
        <v>44.4</v>
      </c>
      <c r="E9">
        <v>5.2</v>
      </c>
      <c r="F9">
        <v>35.200000000000003</v>
      </c>
      <c r="G9">
        <v>6.2</v>
      </c>
      <c r="H9">
        <v>33.9</v>
      </c>
      <c r="I9">
        <v>6</v>
      </c>
      <c r="J9" s="1">
        <f t="shared" si="0"/>
        <v>1.1538461538461537</v>
      </c>
      <c r="K9">
        <v>1</v>
      </c>
      <c r="L9" s="1">
        <f t="shared" si="1"/>
        <v>0.95074946466809418</v>
      </c>
      <c r="M9" s="1">
        <f t="shared" si="2"/>
        <v>0.75374732334047112</v>
      </c>
      <c r="N9" s="1">
        <f t="shared" si="3"/>
        <v>0.72591006423982862</v>
      </c>
    </row>
    <row r="10" spans="1:14" x14ac:dyDescent="0.2">
      <c r="A10">
        <v>18</v>
      </c>
      <c r="B10">
        <v>49.8</v>
      </c>
      <c r="C10">
        <v>6</v>
      </c>
      <c r="D10">
        <v>47.1</v>
      </c>
      <c r="E10">
        <v>5.8</v>
      </c>
      <c r="F10">
        <v>37.200000000000003</v>
      </c>
      <c r="G10">
        <v>6.8</v>
      </c>
      <c r="H10">
        <v>36</v>
      </c>
      <c r="I10">
        <v>6.8</v>
      </c>
      <c r="J10" s="1">
        <f t="shared" si="0"/>
        <v>1.1724137931034482</v>
      </c>
      <c r="K10">
        <v>1</v>
      </c>
      <c r="L10" s="1">
        <f t="shared" si="1"/>
        <v>0.94578313253012058</v>
      </c>
      <c r="M10" s="1">
        <f t="shared" si="2"/>
        <v>0.74698795180722899</v>
      </c>
      <c r="N10" s="1">
        <f t="shared" si="3"/>
        <v>0.72289156626506024</v>
      </c>
    </row>
    <row r="11" spans="1:14" x14ac:dyDescent="0.2">
      <c r="A11">
        <v>20</v>
      </c>
      <c r="B11">
        <v>52.5</v>
      </c>
      <c r="C11">
        <v>6.5</v>
      </c>
      <c r="D11">
        <v>51.1</v>
      </c>
      <c r="E11">
        <v>6.3</v>
      </c>
      <c r="F11">
        <v>39.6</v>
      </c>
      <c r="G11">
        <v>6.9</v>
      </c>
      <c r="H11">
        <v>37.9</v>
      </c>
      <c r="I11">
        <v>6.7</v>
      </c>
      <c r="J11" s="1">
        <f t="shared" si="0"/>
        <v>1.0634920634920635</v>
      </c>
      <c r="K11">
        <v>1</v>
      </c>
      <c r="L11" s="1">
        <f t="shared" si="1"/>
        <v>0.97333333333333338</v>
      </c>
      <c r="M11" s="1">
        <f t="shared" si="2"/>
        <v>0.75428571428571434</v>
      </c>
      <c r="N11" s="1">
        <f t="shared" si="3"/>
        <v>0.72190476190476183</v>
      </c>
    </row>
    <row r="12" spans="1:14" x14ac:dyDescent="0.2">
      <c r="A12">
        <v>22</v>
      </c>
      <c r="B12">
        <v>57.1</v>
      </c>
      <c r="C12">
        <v>7.4</v>
      </c>
      <c r="D12">
        <v>54.9</v>
      </c>
      <c r="E12">
        <v>6.9</v>
      </c>
      <c r="F12">
        <v>41.6</v>
      </c>
      <c r="G12">
        <v>7.3</v>
      </c>
      <c r="H12">
        <v>40.5</v>
      </c>
      <c r="I12">
        <v>7</v>
      </c>
      <c r="J12" s="1">
        <f t="shared" si="0"/>
        <v>1.0144927536231882</v>
      </c>
      <c r="K12">
        <v>1</v>
      </c>
      <c r="L12" s="1">
        <f t="shared" si="1"/>
        <v>0.96147110332749552</v>
      </c>
      <c r="M12" s="1">
        <f t="shared" si="2"/>
        <v>0.72854640980735552</v>
      </c>
      <c r="N12" s="1">
        <f t="shared" si="3"/>
        <v>0.70928196147110334</v>
      </c>
    </row>
    <row r="13" spans="1:14" x14ac:dyDescent="0.2">
      <c r="A13">
        <v>24</v>
      </c>
      <c r="B13">
        <v>59.4</v>
      </c>
      <c r="C13">
        <v>8.4</v>
      </c>
      <c r="D13">
        <v>57.5</v>
      </c>
      <c r="E13">
        <v>8.1</v>
      </c>
      <c r="F13">
        <v>43</v>
      </c>
      <c r="G13">
        <v>8.4</v>
      </c>
      <c r="H13">
        <v>41.5</v>
      </c>
      <c r="I13">
        <v>8.4</v>
      </c>
      <c r="J13" s="1">
        <f t="shared" si="0"/>
        <v>1.0370370370370372</v>
      </c>
      <c r="K13">
        <v>1</v>
      </c>
      <c r="L13" s="1">
        <f t="shared" si="1"/>
        <v>0.96801346801346799</v>
      </c>
      <c r="M13" s="1">
        <f t="shared" si="2"/>
        <v>0.72390572390572394</v>
      </c>
      <c r="N13" s="1">
        <f t="shared" si="3"/>
        <v>0.69865319865319864</v>
      </c>
    </row>
    <row r="14" spans="1:14" x14ac:dyDescent="0.2">
      <c r="A14">
        <v>26</v>
      </c>
      <c r="B14">
        <v>63.7</v>
      </c>
      <c r="C14">
        <v>10.4</v>
      </c>
      <c r="D14">
        <v>60.3</v>
      </c>
      <c r="E14">
        <v>9.9</v>
      </c>
      <c r="F14">
        <v>45.3</v>
      </c>
      <c r="G14">
        <v>9.6999999999999993</v>
      </c>
      <c r="H14">
        <v>43.7</v>
      </c>
      <c r="I14">
        <v>9.5</v>
      </c>
      <c r="J14" s="1">
        <f t="shared" si="0"/>
        <v>0.95959595959595956</v>
      </c>
      <c r="K14">
        <v>1</v>
      </c>
      <c r="L14" s="1">
        <f t="shared" si="1"/>
        <v>0.94662480376766078</v>
      </c>
      <c r="M14" s="1">
        <f t="shared" si="2"/>
        <v>0.71114599686028246</v>
      </c>
      <c r="N14" s="1">
        <f t="shared" si="3"/>
        <v>0.68602825745682894</v>
      </c>
    </row>
    <row r="15" spans="1:14" x14ac:dyDescent="0.2">
      <c r="A15">
        <v>28</v>
      </c>
      <c r="B15">
        <v>66.7</v>
      </c>
      <c r="C15">
        <v>12</v>
      </c>
      <c r="D15">
        <v>64</v>
      </c>
      <c r="E15">
        <v>11.4</v>
      </c>
      <c r="F15">
        <v>47.7</v>
      </c>
      <c r="G15">
        <v>11.1</v>
      </c>
      <c r="H15">
        <v>46.6</v>
      </c>
      <c r="I15">
        <v>10.8</v>
      </c>
      <c r="J15" s="1">
        <f t="shared" si="0"/>
        <v>0.94736842105263164</v>
      </c>
      <c r="K15">
        <v>1</v>
      </c>
      <c r="L15" s="1">
        <f t="shared" si="1"/>
        <v>0.95952023988005997</v>
      </c>
      <c r="M15" s="1">
        <f t="shared" si="2"/>
        <v>0.71514242878560719</v>
      </c>
      <c r="N15" s="1">
        <f t="shared" si="3"/>
        <v>0.69865067466266861</v>
      </c>
    </row>
    <row r="16" spans="1:14" x14ac:dyDescent="0.2">
      <c r="A16">
        <v>30</v>
      </c>
      <c r="B16">
        <v>70.400000000000006</v>
      </c>
      <c r="C16">
        <v>14.2</v>
      </c>
      <c r="D16">
        <v>67.2</v>
      </c>
      <c r="E16">
        <v>14.2</v>
      </c>
      <c r="F16">
        <v>48.7</v>
      </c>
      <c r="G16">
        <v>13.1</v>
      </c>
      <c r="H16">
        <v>48.6</v>
      </c>
      <c r="I16">
        <v>13.3</v>
      </c>
      <c r="J16" s="1">
        <f t="shared" si="0"/>
        <v>0.93661971830985924</v>
      </c>
      <c r="K16">
        <v>1</v>
      </c>
      <c r="L16" s="1">
        <f t="shared" si="1"/>
        <v>0.95454545454545447</v>
      </c>
      <c r="M16" s="1">
        <f t="shared" si="2"/>
        <v>0.69176136363636365</v>
      </c>
      <c r="N16" s="1">
        <f t="shared" si="3"/>
        <v>0.69034090909090906</v>
      </c>
    </row>
    <row r="17" spans="1:14" x14ac:dyDescent="0.2">
      <c r="A17">
        <v>32</v>
      </c>
      <c r="B17">
        <v>73</v>
      </c>
      <c r="C17">
        <v>15.2</v>
      </c>
      <c r="D17">
        <v>70.099999999999994</v>
      </c>
      <c r="E17">
        <v>14.2</v>
      </c>
      <c r="F17">
        <v>50.2</v>
      </c>
      <c r="G17">
        <v>13.2</v>
      </c>
      <c r="H17">
        <v>49.5</v>
      </c>
      <c r="I17">
        <v>13</v>
      </c>
      <c r="J17" s="1">
        <f t="shared" si="0"/>
        <v>0.91549295774647887</v>
      </c>
      <c r="K17">
        <v>1</v>
      </c>
      <c r="L17" s="1">
        <f t="shared" si="1"/>
        <v>0.96027397260273961</v>
      </c>
      <c r="M17" s="1">
        <f t="shared" si="2"/>
        <v>0.68767123287671239</v>
      </c>
      <c r="N17" s="1">
        <f t="shared" si="3"/>
        <v>0.67808219178082196</v>
      </c>
    </row>
    <row r="18" spans="1:14" x14ac:dyDescent="0.2">
      <c r="A18">
        <v>34</v>
      </c>
      <c r="B18">
        <v>76.8</v>
      </c>
      <c r="C18">
        <v>16</v>
      </c>
      <c r="D18">
        <v>75</v>
      </c>
      <c r="E18">
        <v>15.6</v>
      </c>
      <c r="F18">
        <v>52.9</v>
      </c>
      <c r="G18">
        <v>14</v>
      </c>
      <c r="H18">
        <v>51.7</v>
      </c>
      <c r="I18">
        <v>13.6</v>
      </c>
      <c r="J18" s="1">
        <f t="shared" si="0"/>
        <v>0.87179487179487181</v>
      </c>
      <c r="K18">
        <v>1</v>
      </c>
      <c r="L18" s="1">
        <f t="shared" si="1"/>
        <v>0.9765625</v>
      </c>
      <c r="M18" s="1">
        <f t="shared" si="2"/>
        <v>0.68880208333333337</v>
      </c>
      <c r="N18" s="1">
        <f t="shared" si="3"/>
        <v>0.67317708333333337</v>
      </c>
    </row>
    <row r="19" spans="1:14" x14ac:dyDescent="0.2">
      <c r="A19">
        <v>36</v>
      </c>
      <c r="B19">
        <v>78.099999999999994</v>
      </c>
      <c r="C19">
        <v>16</v>
      </c>
      <c r="D19">
        <v>75.8</v>
      </c>
      <c r="E19">
        <v>15.9</v>
      </c>
      <c r="F19">
        <v>53.6</v>
      </c>
      <c r="G19">
        <v>13.7</v>
      </c>
      <c r="H19">
        <v>53.3</v>
      </c>
      <c r="I19">
        <v>13.9</v>
      </c>
      <c r="J19" s="1">
        <f t="shared" si="0"/>
        <v>0.87421383647798745</v>
      </c>
      <c r="K19">
        <v>1</v>
      </c>
      <c r="L19" s="1">
        <f t="shared" si="1"/>
        <v>0.97055057618437901</v>
      </c>
      <c r="M19" s="1">
        <f t="shared" si="2"/>
        <v>0.68629961587708077</v>
      </c>
      <c r="N19" s="1">
        <f t="shared" si="3"/>
        <v>0.68245838668373882</v>
      </c>
    </row>
    <row r="20" spans="1:14" x14ac:dyDescent="0.2">
      <c r="A20">
        <v>38</v>
      </c>
      <c r="B20">
        <v>81.5</v>
      </c>
      <c r="C20">
        <v>17.399999999999999</v>
      </c>
      <c r="D20">
        <v>79.7</v>
      </c>
      <c r="E20">
        <v>16.8</v>
      </c>
      <c r="F20">
        <v>54.8</v>
      </c>
      <c r="G20">
        <v>14.3</v>
      </c>
      <c r="H20">
        <v>54.5</v>
      </c>
      <c r="I20">
        <v>14.5</v>
      </c>
      <c r="J20" s="1">
        <f t="shared" si="0"/>
        <v>0.86309523809523803</v>
      </c>
      <c r="K20">
        <v>1</v>
      </c>
      <c r="L20" s="1">
        <f t="shared" si="1"/>
        <v>0.97791411042944787</v>
      </c>
      <c r="M20" s="1">
        <f t="shared" si="2"/>
        <v>0.67239263803680982</v>
      </c>
      <c r="N20" s="1">
        <f t="shared" si="3"/>
        <v>0.66871165644171782</v>
      </c>
    </row>
    <row r="21" spans="1:14" x14ac:dyDescent="0.2">
      <c r="A21">
        <v>40</v>
      </c>
      <c r="B21">
        <v>83.5</v>
      </c>
      <c r="C21">
        <v>17.899999999999999</v>
      </c>
      <c r="D21">
        <v>82.1</v>
      </c>
      <c r="E21">
        <v>17.8</v>
      </c>
      <c r="F21">
        <v>56.6</v>
      </c>
      <c r="G21">
        <v>15.5</v>
      </c>
      <c r="H21">
        <v>56.3</v>
      </c>
      <c r="I21">
        <v>14.7</v>
      </c>
      <c r="J21" s="1">
        <f t="shared" si="0"/>
        <v>0.82584269662921339</v>
      </c>
      <c r="K21">
        <v>1</v>
      </c>
      <c r="L21" s="1">
        <f t="shared" si="1"/>
        <v>0.98323353293413163</v>
      </c>
      <c r="M21" s="1">
        <f t="shared" si="2"/>
        <v>0.67784431137724555</v>
      </c>
      <c r="N21" s="1">
        <f t="shared" si="3"/>
        <v>0.67425149700598797</v>
      </c>
    </row>
    <row r="22" spans="1:14" x14ac:dyDescent="0.2">
      <c r="A22">
        <v>60</v>
      </c>
      <c r="B22">
        <v>112.4</v>
      </c>
      <c r="C22">
        <v>26.6</v>
      </c>
      <c r="D22">
        <v>110</v>
      </c>
      <c r="E22">
        <v>26.1</v>
      </c>
      <c r="F22">
        <v>71.2</v>
      </c>
      <c r="G22">
        <v>19.8</v>
      </c>
      <c r="H22">
        <v>70.2</v>
      </c>
      <c r="I22">
        <v>19.399999999999999</v>
      </c>
      <c r="J22" s="1">
        <f t="shared" si="0"/>
        <v>0.74329501915708807</v>
      </c>
      <c r="K22">
        <v>1</v>
      </c>
      <c r="L22" s="1">
        <f t="shared" si="1"/>
        <v>0.97864768683274017</v>
      </c>
      <c r="M22" s="1">
        <f t="shared" si="2"/>
        <v>0.63345195729537362</v>
      </c>
      <c r="N22" s="1">
        <f t="shared" si="3"/>
        <v>0.6245551601423488</v>
      </c>
    </row>
    <row r="23" spans="1:14" x14ac:dyDescent="0.2">
      <c r="A23">
        <v>80</v>
      </c>
      <c r="B23">
        <v>138.4</v>
      </c>
      <c r="C23">
        <v>39.299999999999997</v>
      </c>
      <c r="D23">
        <v>135.19999999999999</v>
      </c>
      <c r="E23">
        <v>37.700000000000003</v>
      </c>
      <c r="F23">
        <v>83.8</v>
      </c>
      <c r="G23">
        <v>26</v>
      </c>
      <c r="H23">
        <v>83</v>
      </c>
      <c r="I23">
        <v>26.3</v>
      </c>
      <c r="J23" s="1">
        <f t="shared" si="0"/>
        <v>0.69761273209549068</v>
      </c>
      <c r="K23">
        <v>1</v>
      </c>
      <c r="L23" s="1">
        <f t="shared" si="1"/>
        <v>0.97687861271676291</v>
      </c>
      <c r="M23" s="1">
        <f t="shared" si="2"/>
        <v>0.60549132947976869</v>
      </c>
      <c r="N23" s="1">
        <f t="shared" si="3"/>
        <v>0.5997109826589595</v>
      </c>
    </row>
    <row r="24" spans="1:14" x14ac:dyDescent="0.2">
      <c r="A24">
        <v>100</v>
      </c>
      <c r="B24">
        <v>159.19999999999999</v>
      </c>
      <c r="C24">
        <v>51.7</v>
      </c>
      <c r="D24">
        <v>156.69999999999999</v>
      </c>
      <c r="E24">
        <v>51.1</v>
      </c>
      <c r="F24">
        <v>93.4</v>
      </c>
      <c r="G24">
        <v>32.4</v>
      </c>
      <c r="H24">
        <v>93.2</v>
      </c>
      <c r="I24">
        <v>32.799999999999997</v>
      </c>
      <c r="J24" s="1">
        <f t="shared" si="0"/>
        <v>0.64187866927592951</v>
      </c>
      <c r="K24">
        <v>1</v>
      </c>
      <c r="L24" s="1">
        <f t="shared" si="1"/>
        <v>0.98429648241206025</v>
      </c>
      <c r="M24" s="1">
        <f t="shared" si="2"/>
        <v>0.58668341708542726</v>
      </c>
      <c r="N24" s="1">
        <f t="shared" si="3"/>
        <v>0.585427135678392</v>
      </c>
    </row>
    <row r="25" spans="1:14" x14ac:dyDescent="0.2">
      <c r="A25">
        <v>120</v>
      </c>
      <c r="B25">
        <v>182.8</v>
      </c>
      <c r="C25">
        <v>66.099999999999994</v>
      </c>
      <c r="D25">
        <v>177.8</v>
      </c>
      <c r="E25">
        <v>64.099999999999994</v>
      </c>
      <c r="F25">
        <v>103.8</v>
      </c>
      <c r="G25">
        <v>39</v>
      </c>
      <c r="H25">
        <v>104</v>
      </c>
      <c r="I25">
        <v>39.299999999999997</v>
      </c>
      <c r="J25" s="1">
        <f t="shared" si="0"/>
        <v>0.61310452418096728</v>
      </c>
      <c r="K25">
        <v>1</v>
      </c>
      <c r="L25" s="1">
        <f t="shared" si="1"/>
        <v>0.97264770240700216</v>
      </c>
      <c r="M25" s="1">
        <f t="shared" si="2"/>
        <v>0.56783369803063455</v>
      </c>
      <c r="N25" s="1">
        <f t="shared" si="3"/>
        <v>0.56892778993435444</v>
      </c>
    </row>
    <row r="26" spans="1:14" x14ac:dyDescent="0.2">
      <c r="A26">
        <v>140</v>
      </c>
      <c r="B26">
        <v>205.1</v>
      </c>
      <c r="C26">
        <v>79.599999999999994</v>
      </c>
      <c r="D26">
        <v>201</v>
      </c>
      <c r="E26">
        <v>78.099999999999994</v>
      </c>
      <c r="F26">
        <v>113.6</v>
      </c>
      <c r="G26">
        <v>45.6</v>
      </c>
      <c r="H26">
        <v>113.4</v>
      </c>
      <c r="I26">
        <v>46.4</v>
      </c>
      <c r="J26" s="1">
        <f t="shared" si="0"/>
        <v>0.59411011523687585</v>
      </c>
      <c r="K26">
        <v>1</v>
      </c>
      <c r="L26" s="1">
        <f t="shared" si="1"/>
        <v>0.98000975134080937</v>
      </c>
      <c r="M26" s="1">
        <f t="shared" si="2"/>
        <v>0.55387615797172107</v>
      </c>
      <c r="N26" s="1">
        <f t="shared" si="3"/>
        <v>0.55290102389078499</v>
      </c>
    </row>
    <row r="27" spans="1:14" x14ac:dyDescent="0.2">
      <c r="A27">
        <v>160</v>
      </c>
      <c r="B27">
        <v>221.9</v>
      </c>
      <c r="C27">
        <v>140.80000000000001</v>
      </c>
      <c r="D27">
        <v>216.4</v>
      </c>
      <c r="E27">
        <v>138.9</v>
      </c>
      <c r="F27">
        <v>121</v>
      </c>
      <c r="G27">
        <v>77.099999999999994</v>
      </c>
      <c r="H27">
        <v>121.2</v>
      </c>
      <c r="I27">
        <v>75.3</v>
      </c>
      <c r="J27" s="1">
        <f t="shared" si="0"/>
        <v>0.54211663066954641</v>
      </c>
      <c r="K27">
        <v>1</v>
      </c>
      <c r="L27" s="1">
        <f t="shared" si="1"/>
        <v>0.97521406038756198</v>
      </c>
      <c r="M27" s="1">
        <f t="shared" si="2"/>
        <v>0.54529067147363675</v>
      </c>
      <c r="N27" s="1">
        <f t="shared" si="3"/>
        <v>0.54619197836863453</v>
      </c>
    </row>
    <row r="28" spans="1:14" x14ac:dyDescent="0.2">
      <c r="A28">
        <v>180</v>
      </c>
      <c r="B28">
        <v>241.3</v>
      </c>
      <c r="C28">
        <v>121.2</v>
      </c>
      <c r="D28">
        <v>236</v>
      </c>
      <c r="E28">
        <v>118.6</v>
      </c>
      <c r="F28">
        <v>130.1</v>
      </c>
      <c r="G28">
        <v>65.5</v>
      </c>
      <c r="H28">
        <v>128.9</v>
      </c>
      <c r="I28">
        <v>64.8</v>
      </c>
      <c r="J28" s="1">
        <f t="shared" si="0"/>
        <v>0.54637436762225966</v>
      </c>
      <c r="K28">
        <v>1</v>
      </c>
      <c r="L28" s="1">
        <f t="shared" si="1"/>
        <v>0.97803564028180678</v>
      </c>
      <c r="M28" s="1">
        <f t="shared" si="2"/>
        <v>0.5391628677994198</v>
      </c>
      <c r="N28" s="1">
        <f t="shared" si="3"/>
        <v>0.53418980522171566</v>
      </c>
    </row>
    <row r="29" spans="1:14" x14ac:dyDescent="0.2">
      <c r="A29">
        <v>200</v>
      </c>
      <c r="B29">
        <v>258.8</v>
      </c>
      <c r="C29">
        <v>129.30000000000001</v>
      </c>
      <c r="D29">
        <v>253.5</v>
      </c>
      <c r="E29">
        <v>126.3</v>
      </c>
      <c r="F29">
        <v>136.9</v>
      </c>
      <c r="G29">
        <v>67.3</v>
      </c>
      <c r="H29">
        <v>136</v>
      </c>
      <c r="I29">
        <v>67</v>
      </c>
      <c r="J29" s="1">
        <f t="shared" si="0"/>
        <v>0.53048297703879654</v>
      </c>
      <c r="K29">
        <v>1</v>
      </c>
      <c r="L29" s="1">
        <f t="shared" si="1"/>
        <v>0.97952086553323026</v>
      </c>
      <c r="M29" s="1">
        <f t="shared" si="2"/>
        <v>0.52897990726429678</v>
      </c>
      <c r="N29" s="1">
        <f t="shared" si="3"/>
        <v>0.5255023183925811</v>
      </c>
    </row>
    <row r="30" spans="1:14" x14ac:dyDescent="0.2">
      <c r="A30">
        <v>300</v>
      </c>
      <c r="B30">
        <v>334.2</v>
      </c>
      <c r="C30">
        <v>229.2</v>
      </c>
      <c r="D30">
        <v>329.6</v>
      </c>
      <c r="E30">
        <v>225.2</v>
      </c>
      <c r="F30">
        <v>167.8</v>
      </c>
      <c r="G30">
        <v>109.8</v>
      </c>
      <c r="H30">
        <v>167.7</v>
      </c>
      <c r="I30">
        <v>109.3</v>
      </c>
      <c r="J30" s="1">
        <f t="shared" si="0"/>
        <v>0.48534635879218474</v>
      </c>
      <c r="K30">
        <v>1</v>
      </c>
      <c r="L30" s="1">
        <f t="shared" ref="L30:L46" si="4">D30/B30</f>
        <v>0.98623578695391989</v>
      </c>
      <c r="M30" s="1">
        <f t="shared" ref="M30:M46" si="5">F30/B30</f>
        <v>0.50209455415918613</v>
      </c>
      <c r="N30" s="1">
        <f t="shared" ref="N30:N46" si="6">H30/B30</f>
        <v>0.50179533213644523</v>
      </c>
    </row>
    <row r="31" spans="1:14" x14ac:dyDescent="0.2">
      <c r="A31">
        <v>400</v>
      </c>
      <c r="B31">
        <v>395.2</v>
      </c>
      <c r="C31">
        <v>333.3</v>
      </c>
      <c r="D31">
        <v>388.7</v>
      </c>
      <c r="E31">
        <v>328.8</v>
      </c>
      <c r="F31">
        <v>190.6</v>
      </c>
      <c r="G31">
        <v>148.4</v>
      </c>
      <c r="H31">
        <v>190.9</v>
      </c>
      <c r="I31">
        <v>148.80000000000001</v>
      </c>
      <c r="J31" s="1">
        <f t="shared" si="0"/>
        <v>0.45255474452554745</v>
      </c>
      <c r="K31">
        <v>1</v>
      </c>
      <c r="L31" s="1">
        <f t="shared" si="4"/>
        <v>0.98355263157894735</v>
      </c>
      <c r="M31" s="1">
        <f t="shared" si="5"/>
        <v>0.48228744939271256</v>
      </c>
      <c r="N31" s="1">
        <f t="shared" si="6"/>
        <v>0.48304655870445345</v>
      </c>
    </row>
    <row r="32" spans="1:14" x14ac:dyDescent="0.2">
      <c r="A32">
        <v>500</v>
      </c>
      <c r="B32">
        <v>446.7</v>
      </c>
      <c r="C32">
        <v>498.9</v>
      </c>
      <c r="D32">
        <v>439.3</v>
      </c>
      <c r="E32">
        <v>489</v>
      </c>
      <c r="F32">
        <v>210.6</v>
      </c>
      <c r="G32">
        <v>210.3</v>
      </c>
      <c r="H32">
        <v>209.8</v>
      </c>
      <c r="I32">
        <v>210.6</v>
      </c>
      <c r="J32" s="1">
        <f t="shared" si="0"/>
        <v>0.43067484662576688</v>
      </c>
      <c r="K32">
        <v>1</v>
      </c>
      <c r="L32" s="1">
        <f t="shared" si="4"/>
        <v>0.98343407208417288</v>
      </c>
      <c r="M32" s="1">
        <f t="shared" si="5"/>
        <v>0.47145735392881127</v>
      </c>
      <c r="N32" s="1">
        <f t="shared" si="6"/>
        <v>0.46966644280277597</v>
      </c>
    </row>
    <row r="33" spans="1:14" x14ac:dyDescent="0.2">
      <c r="A33">
        <v>600</v>
      </c>
      <c r="B33">
        <v>492.3</v>
      </c>
      <c r="C33">
        <v>619.6</v>
      </c>
      <c r="D33">
        <v>485.7</v>
      </c>
      <c r="E33">
        <v>608.29999999999995</v>
      </c>
      <c r="F33">
        <v>227</v>
      </c>
      <c r="G33">
        <v>246.1</v>
      </c>
      <c r="H33">
        <v>227.5</v>
      </c>
      <c r="I33">
        <v>247.4</v>
      </c>
      <c r="J33" s="1">
        <f t="shared" si="0"/>
        <v>0.40670721683379918</v>
      </c>
      <c r="K33">
        <v>1</v>
      </c>
      <c r="L33" s="1">
        <f t="shared" si="4"/>
        <v>0.98659354052407067</v>
      </c>
      <c r="M33" s="1">
        <f t="shared" si="5"/>
        <v>0.46110095470241719</v>
      </c>
      <c r="N33" s="1">
        <f t="shared" si="6"/>
        <v>0.46211659557180579</v>
      </c>
    </row>
    <row r="34" spans="1:14" x14ac:dyDescent="0.2">
      <c r="A34">
        <v>700</v>
      </c>
      <c r="B34">
        <v>528.29999999999995</v>
      </c>
      <c r="C34">
        <v>644.70000000000005</v>
      </c>
      <c r="D34">
        <v>522.70000000000005</v>
      </c>
      <c r="E34">
        <v>638.1</v>
      </c>
      <c r="F34">
        <v>239.8</v>
      </c>
      <c r="G34">
        <v>249</v>
      </c>
      <c r="H34">
        <v>238.9</v>
      </c>
      <c r="I34">
        <v>249.6</v>
      </c>
      <c r="J34" s="1">
        <f t="shared" si="0"/>
        <v>0.39116125999059709</v>
      </c>
      <c r="K34">
        <v>1</v>
      </c>
      <c r="L34" s="1">
        <f t="shared" si="4"/>
        <v>0.98939996214272208</v>
      </c>
      <c r="M34" s="1">
        <f t="shared" si="5"/>
        <v>0.45390876395987134</v>
      </c>
      <c r="N34" s="1">
        <f t="shared" si="6"/>
        <v>0.45220518644709451</v>
      </c>
    </row>
    <row r="35" spans="1:14" x14ac:dyDescent="0.2">
      <c r="A35">
        <v>800</v>
      </c>
      <c r="B35">
        <v>564.29999999999995</v>
      </c>
      <c r="C35">
        <v>757.1</v>
      </c>
      <c r="D35">
        <v>558.9</v>
      </c>
      <c r="E35">
        <v>749.7</v>
      </c>
      <c r="F35">
        <v>253.4</v>
      </c>
      <c r="G35">
        <v>283.3</v>
      </c>
      <c r="H35">
        <v>252.2</v>
      </c>
      <c r="I35">
        <v>284.5</v>
      </c>
      <c r="J35" s="1">
        <f t="shared" si="0"/>
        <v>0.37948512738428702</v>
      </c>
      <c r="K35">
        <v>1</v>
      </c>
      <c r="L35" s="1">
        <f t="shared" si="4"/>
        <v>0.99043062200956944</v>
      </c>
      <c r="M35" s="1">
        <f t="shared" si="5"/>
        <v>0.44905192273613331</v>
      </c>
      <c r="N35" s="1">
        <f t="shared" si="6"/>
        <v>0.44692539429381534</v>
      </c>
    </row>
    <row r="36" spans="1:14" x14ac:dyDescent="0.2">
      <c r="A36">
        <v>900</v>
      </c>
      <c r="B36">
        <v>595.1</v>
      </c>
      <c r="C36">
        <v>817</v>
      </c>
      <c r="D36">
        <v>583.70000000000005</v>
      </c>
      <c r="E36">
        <v>805.7</v>
      </c>
      <c r="F36">
        <v>264</v>
      </c>
      <c r="G36">
        <v>297</v>
      </c>
      <c r="H36">
        <v>262.39999999999998</v>
      </c>
      <c r="I36">
        <v>295.5</v>
      </c>
      <c r="J36" s="1">
        <f t="shared" si="0"/>
        <v>0.36676182201812085</v>
      </c>
      <c r="K36">
        <v>1</v>
      </c>
      <c r="L36" s="1">
        <f t="shared" si="4"/>
        <v>0.98084355570492354</v>
      </c>
      <c r="M36" s="1">
        <f t="shared" si="5"/>
        <v>0.44362292051756008</v>
      </c>
      <c r="N36" s="1">
        <f t="shared" si="6"/>
        <v>0.44093429675684753</v>
      </c>
    </row>
    <row r="37" spans="1:14" x14ac:dyDescent="0.2">
      <c r="A37">
        <v>1000</v>
      </c>
      <c r="B37">
        <v>625.5</v>
      </c>
      <c r="C37">
        <v>973.8</v>
      </c>
      <c r="D37">
        <v>617.6</v>
      </c>
      <c r="E37">
        <v>965.1</v>
      </c>
      <c r="F37">
        <v>274.2</v>
      </c>
      <c r="G37">
        <v>340.9</v>
      </c>
      <c r="H37">
        <v>274.2</v>
      </c>
      <c r="I37">
        <v>341.7</v>
      </c>
      <c r="J37" s="1">
        <f t="shared" si="0"/>
        <v>0.35405657444824368</v>
      </c>
      <c r="K37">
        <v>1</v>
      </c>
      <c r="L37" s="1">
        <f t="shared" si="4"/>
        <v>0.98737010391686653</v>
      </c>
      <c r="M37" s="1">
        <f t="shared" si="5"/>
        <v>0.43836930455635492</v>
      </c>
      <c r="N37" s="1">
        <f t="shared" si="6"/>
        <v>0.43836930455635492</v>
      </c>
    </row>
    <row r="38" spans="1:14" x14ac:dyDescent="0.2">
      <c r="A38">
        <v>1100</v>
      </c>
      <c r="B38">
        <v>646.79999999999995</v>
      </c>
      <c r="C38">
        <v>1028</v>
      </c>
      <c r="D38">
        <v>638.20000000000005</v>
      </c>
      <c r="E38">
        <v>1004.1</v>
      </c>
      <c r="F38">
        <v>281</v>
      </c>
      <c r="G38">
        <v>349.7</v>
      </c>
      <c r="H38">
        <v>281.60000000000002</v>
      </c>
      <c r="I38">
        <v>350.8</v>
      </c>
      <c r="J38" s="1">
        <f t="shared" si="0"/>
        <v>0.34936759286923613</v>
      </c>
      <c r="K38">
        <v>1</v>
      </c>
      <c r="L38" s="1">
        <f t="shared" si="4"/>
        <v>0.98670377241805829</v>
      </c>
      <c r="M38" s="1">
        <f t="shared" si="5"/>
        <v>0.43444650587507733</v>
      </c>
      <c r="N38" s="1">
        <f t="shared" si="6"/>
        <v>0.43537414965986398</v>
      </c>
    </row>
    <row r="39" spans="1:14" x14ac:dyDescent="0.2">
      <c r="A39">
        <v>1200</v>
      </c>
      <c r="B39">
        <v>673.4</v>
      </c>
      <c r="C39">
        <v>1176</v>
      </c>
      <c r="D39">
        <v>663.8</v>
      </c>
      <c r="E39">
        <v>1147.8</v>
      </c>
      <c r="F39">
        <v>289.60000000000002</v>
      </c>
      <c r="G39">
        <v>390.8</v>
      </c>
      <c r="H39">
        <v>289.8</v>
      </c>
      <c r="I39">
        <v>391.5</v>
      </c>
      <c r="J39" s="1">
        <f t="shared" si="0"/>
        <v>0.34108729743857819</v>
      </c>
      <c r="K39">
        <v>1</v>
      </c>
      <c r="L39" s="1">
        <f t="shared" si="4"/>
        <v>0.9857439857439857</v>
      </c>
      <c r="M39" s="1">
        <f t="shared" si="5"/>
        <v>0.43005643005643013</v>
      </c>
      <c r="N39" s="1">
        <f t="shared" si="6"/>
        <v>0.43035343035343038</v>
      </c>
    </row>
    <row r="40" spans="1:14" x14ac:dyDescent="0.2">
      <c r="A40">
        <v>1300</v>
      </c>
      <c r="B40">
        <v>695.5</v>
      </c>
      <c r="C40">
        <v>1283.0999999999999</v>
      </c>
      <c r="D40">
        <v>685.2</v>
      </c>
      <c r="E40">
        <v>1264</v>
      </c>
      <c r="F40">
        <v>296.3</v>
      </c>
      <c r="G40">
        <v>422</v>
      </c>
      <c r="H40">
        <v>296.3</v>
      </c>
      <c r="I40">
        <v>421.2</v>
      </c>
      <c r="J40" s="1">
        <f t="shared" si="0"/>
        <v>0.33322784810126582</v>
      </c>
      <c r="K40">
        <v>1</v>
      </c>
      <c r="L40" s="1">
        <f t="shared" si="4"/>
        <v>0.9851905104241554</v>
      </c>
      <c r="M40" s="1">
        <f t="shared" si="5"/>
        <v>0.4260244428468728</v>
      </c>
      <c r="N40" s="1">
        <f t="shared" si="6"/>
        <v>0.4260244428468728</v>
      </c>
    </row>
    <row r="41" spans="1:14" x14ac:dyDescent="0.2">
      <c r="A41">
        <v>1400</v>
      </c>
      <c r="B41">
        <v>714.8</v>
      </c>
      <c r="C41">
        <v>1486.4</v>
      </c>
      <c r="D41">
        <v>701.3</v>
      </c>
      <c r="E41">
        <v>1461</v>
      </c>
      <c r="F41">
        <v>303.3</v>
      </c>
      <c r="G41">
        <v>483.9</v>
      </c>
      <c r="H41">
        <v>302.89999999999998</v>
      </c>
      <c r="I41">
        <v>482.2</v>
      </c>
      <c r="J41" s="1">
        <f t="shared" si="0"/>
        <v>0.33004791238877479</v>
      </c>
      <c r="K41">
        <v>1</v>
      </c>
      <c r="L41" s="1">
        <f t="shared" si="4"/>
        <v>0.98111359820928934</v>
      </c>
      <c r="M41" s="1">
        <f t="shared" si="5"/>
        <v>0.42431449356463352</v>
      </c>
      <c r="N41" s="1">
        <f t="shared" si="6"/>
        <v>0.42375489647453835</v>
      </c>
    </row>
    <row r="42" spans="1:14" x14ac:dyDescent="0.2">
      <c r="A42">
        <v>1500</v>
      </c>
      <c r="B42">
        <v>732</v>
      </c>
      <c r="C42">
        <v>1623.3</v>
      </c>
      <c r="D42">
        <v>723</v>
      </c>
      <c r="E42">
        <v>1615</v>
      </c>
      <c r="F42">
        <v>309.5</v>
      </c>
      <c r="G42">
        <v>518.4</v>
      </c>
      <c r="H42">
        <v>308.89999999999998</v>
      </c>
      <c r="I42">
        <v>518.20000000000005</v>
      </c>
      <c r="J42" s="1">
        <f t="shared" si="0"/>
        <v>0.32086687306501549</v>
      </c>
      <c r="K42">
        <v>1</v>
      </c>
      <c r="L42" s="1">
        <f t="shared" si="4"/>
        <v>0.98770491803278693</v>
      </c>
      <c r="M42" s="1">
        <f t="shared" si="5"/>
        <v>0.42281420765027322</v>
      </c>
      <c r="N42" s="1">
        <f t="shared" si="6"/>
        <v>0.42199453551912564</v>
      </c>
    </row>
    <row r="43" spans="1:14" x14ac:dyDescent="0.2">
      <c r="A43">
        <v>1600</v>
      </c>
      <c r="B43">
        <v>746.2</v>
      </c>
      <c r="C43">
        <v>1589.3</v>
      </c>
      <c r="D43">
        <v>741.2</v>
      </c>
      <c r="E43">
        <v>1577.8</v>
      </c>
      <c r="F43">
        <v>315.10000000000002</v>
      </c>
      <c r="G43">
        <v>502.6</v>
      </c>
      <c r="H43">
        <v>313.7</v>
      </c>
      <c r="I43">
        <v>497.7</v>
      </c>
      <c r="J43" s="1">
        <f t="shared" si="0"/>
        <v>0.31543921916592726</v>
      </c>
      <c r="K43">
        <v>1</v>
      </c>
      <c r="L43" s="1">
        <f t="shared" si="4"/>
        <v>0.99329938354328595</v>
      </c>
      <c r="M43" s="1">
        <f t="shared" si="5"/>
        <v>0.42227284910211738</v>
      </c>
      <c r="N43" s="1">
        <f t="shared" si="6"/>
        <v>0.42039667649423745</v>
      </c>
    </row>
    <row r="44" spans="1:14" x14ac:dyDescent="0.2">
      <c r="A44">
        <v>1700</v>
      </c>
      <c r="B44">
        <v>763.4</v>
      </c>
      <c r="C44">
        <v>1771.2</v>
      </c>
      <c r="D44">
        <v>758.7</v>
      </c>
      <c r="E44">
        <v>1751.7</v>
      </c>
      <c r="F44">
        <v>319.5</v>
      </c>
      <c r="G44">
        <v>545.9</v>
      </c>
      <c r="H44">
        <v>319.5</v>
      </c>
      <c r="I44">
        <v>549.29999999999995</v>
      </c>
      <c r="J44" s="1">
        <f t="shared" si="0"/>
        <v>0.3135810926528515</v>
      </c>
      <c r="K44">
        <v>1</v>
      </c>
      <c r="L44" s="1">
        <f t="shared" si="4"/>
        <v>0.9938433324600473</v>
      </c>
      <c r="M44" s="1">
        <f t="shared" si="5"/>
        <v>0.41852239979041134</v>
      </c>
      <c r="N44" s="1">
        <f t="shared" si="6"/>
        <v>0.41852239979041134</v>
      </c>
    </row>
    <row r="45" spans="1:14" x14ac:dyDescent="0.2">
      <c r="A45">
        <v>1800</v>
      </c>
      <c r="B45">
        <v>779.7</v>
      </c>
      <c r="C45">
        <v>1606.4</v>
      </c>
      <c r="D45">
        <v>769.2</v>
      </c>
      <c r="E45">
        <v>1590.4</v>
      </c>
      <c r="F45">
        <v>324</v>
      </c>
      <c r="G45">
        <v>488.6</v>
      </c>
      <c r="H45">
        <v>324</v>
      </c>
      <c r="I45">
        <v>489.5</v>
      </c>
      <c r="J45" s="1">
        <f t="shared" si="0"/>
        <v>0.30778420523138833</v>
      </c>
      <c r="K45">
        <v>1</v>
      </c>
      <c r="L45" s="1">
        <f t="shared" si="4"/>
        <v>0.98653328203155055</v>
      </c>
      <c r="M45" s="1">
        <f t="shared" si="5"/>
        <v>0.41554444016929587</v>
      </c>
      <c r="N45" s="1">
        <f t="shared" si="6"/>
        <v>0.41554444016929587</v>
      </c>
    </row>
    <row r="46" spans="1:14" x14ac:dyDescent="0.2">
      <c r="A46">
        <v>1900</v>
      </c>
      <c r="B46">
        <v>791.3</v>
      </c>
      <c r="C46">
        <v>1714.2</v>
      </c>
      <c r="D46">
        <v>785.5</v>
      </c>
      <c r="E46">
        <v>1701</v>
      </c>
      <c r="F46">
        <v>329.1</v>
      </c>
      <c r="G46">
        <v>517.9</v>
      </c>
      <c r="H46">
        <v>326.60000000000002</v>
      </c>
      <c r="I46">
        <v>512.20000000000005</v>
      </c>
      <c r="J46" s="1">
        <f t="shared" si="0"/>
        <v>0.30111699000587894</v>
      </c>
      <c r="K46">
        <v>1</v>
      </c>
      <c r="L46" s="1">
        <f t="shared" si="4"/>
        <v>0.99267028939719459</v>
      </c>
      <c r="M46" s="1">
        <f t="shared" si="5"/>
        <v>0.41589788954884371</v>
      </c>
      <c r="N46" s="1">
        <f t="shared" si="6"/>
        <v>0.41273853153039308</v>
      </c>
    </row>
    <row r="47" spans="1:14" x14ac:dyDescent="0.2">
      <c r="L47" s="1"/>
      <c r="M47" s="1"/>
      <c r="N47" s="1"/>
    </row>
    <row r="48" spans="1:14" x14ac:dyDescent="0.2">
      <c r="L48" s="1"/>
      <c r="M48" s="1"/>
      <c r="N48" s="1"/>
    </row>
    <row r="49" spans="12:14" x14ac:dyDescent="0.2">
      <c r="L49" s="1"/>
      <c r="M49" s="1"/>
      <c r="N49" s="1"/>
    </row>
    <row r="50" spans="12:14" x14ac:dyDescent="0.2">
      <c r="L50" s="1"/>
      <c r="M50" s="1"/>
      <c r="N50" s="1"/>
    </row>
    <row r="51" spans="12:14" x14ac:dyDescent="0.2">
      <c r="L51" s="1"/>
      <c r="M51" s="1"/>
      <c r="N51" s="1"/>
    </row>
    <row r="52" spans="12:14" x14ac:dyDescent="0.2">
      <c r="L52" s="1"/>
      <c r="M52" s="1"/>
      <c r="N52" s="1"/>
    </row>
    <row r="53" spans="12:14" x14ac:dyDescent="0.2">
      <c r="L53" s="1"/>
      <c r="M53" s="1"/>
      <c r="N53" s="1"/>
    </row>
    <row r="54" spans="12:14" x14ac:dyDescent="0.2">
      <c r="L54" s="1"/>
      <c r="M54" s="1"/>
      <c r="N54" s="1"/>
    </row>
    <row r="55" spans="12:14" x14ac:dyDescent="0.2">
      <c r="L55" s="1"/>
      <c r="M55" s="1"/>
      <c r="N55" s="1"/>
    </row>
    <row r="56" spans="12:14" x14ac:dyDescent="0.2">
      <c r="L56" s="1"/>
      <c r="M56" s="1"/>
      <c r="N56" s="1"/>
    </row>
    <row r="57" spans="12:14" x14ac:dyDescent="0.2">
      <c r="L57" s="1"/>
      <c r="M57" s="1"/>
      <c r="N57" s="1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A1B75-C0B0-DE40-AF82-6C04AA863508}">
  <dimension ref="A1:N57"/>
  <sheetViews>
    <sheetView workbookViewId="0">
      <selection activeCell="L52" sqref="L5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8.9</v>
      </c>
      <c r="C2">
        <v>1</v>
      </c>
      <c r="D2">
        <v>6.9</v>
      </c>
      <c r="E2">
        <v>1.2</v>
      </c>
      <c r="F2">
        <v>8.9</v>
      </c>
      <c r="G2">
        <v>3</v>
      </c>
      <c r="H2">
        <v>6.3</v>
      </c>
      <c r="I2">
        <v>2.8</v>
      </c>
      <c r="J2" s="1">
        <f t="shared" ref="J2:J46" si="0">I2/E2</f>
        <v>2.3333333333333335</v>
      </c>
      <c r="K2">
        <v>1</v>
      </c>
      <c r="L2" s="1">
        <f t="shared" ref="L2:L46" si="1">D2/B2</f>
        <v>0.7752808988764045</v>
      </c>
      <c r="M2" s="1">
        <f t="shared" ref="M2:M46" si="2">F2/B2</f>
        <v>1</v>
      </c>
      <c r="N2" s="1">
        <f t="shared" ref="N2:N46" si="3">H2/B2</f>
        <v>0.7078651685393258</v>
      </c>
    </row>
    <row r="3" spans="1:14" x14ac:dyDescent="0.2">
      <c r="A3">
        <v>4</v>
      </c>
      <c r="B3">
        <v>15.1</v>
      </c>
      <c r="C3">
        <v>1.6</v>
      </c>
      <c r="D3">
        <v>13.7</v>
      </c>
      <c r="E3">
        <v>1.5</v>
      </c>
      <c r="F3">
        <v>13.2</v>
      </c>
      <c r="G3">
        <v>3.3</v>
      </c>
      <c r="H3">
        <v>11.8</v>
      </c>
      <c r="I3">
        <v>3.2</v>
      </c>
      <c r="J3" s="1">
        <f t="shared" si="0"/>
        <v>2.1333333333333333</v>
      </c>
      <c r="K3">
        <v>1</v>
      </c>
      <c r="L3" s="1">
        <f t="shared" si="1"/>
        <v>0.9072847682119205</v>
      </c>
      <c r="M3" s="1">
        <f t="shared" si="2"/>
        <v>0.8741721854304636</v>
      </c>
      <c r="N3" s="1">
        <f t="shared" si="3"/>
        <v>0.78145695364238421</v>
      </c>
    </row>
    <row r="4" spans="1:14" x14ac:dyDescent="0.2">
      <c r="A4">
        <v>6</v>
      </c>
      <c r="B4">
        <v>21.3</v>
      </c>
      <c r="C4">
        <v>2.1</v>
      </c>
      <c r="D4">
        <v>19.399999999999999</v>
      </c>
      <c r="E4">
        <v>2</v>
      </c>
      <c r="F4">
        <v>17.8</v>
      </c>
      <c r="G4">
        <v>3.7</v>
      </c>
      <c r="H4">
        <v>15.9</v>
      </c>
      <c r="I4">
        <v>3.6</v>
      </c>
      <c r="J4" s="1">
        <f t="shared" si="0"/>
        <v>1.8</v>
      </c>
      <c r="K4">
        <v>1</v>
      </c>
      <c r="L4" s="1">
        <f t="shared" si="1"/>
        <v>0.91079812206572763</v>
      </c>
      <c r="M4" s="1">
        <f t="shared" si="2"/>
        <v>0.83568075117370888</v>
      </c>
      <c r="N4" s="1">
        <f t="shared" si="3"/>
        <v>0.74647887323943662</v>
      </c>
    </row>
    <row r="5" spans="1:14" x14ac:dyDescent="0.2">
      <c r="A5">
        <v>8</v>
      </c>
      <c r="B5">
        <v>26</v>
      </c>
      <c r="C5">
        <v>2.8</v>
      </c>
      <c r="D5">
        <v>24.1</v>
      </c>
      <c r="E5">
        <v>2.7</v>
      </c>
      <c r="F5">
        <v>21.3</v>
      </c>
      <c r="G5">
        <v>4.4000000000000004</v>
      </c>
      <c r="H5">
        <v>19.8</v>
      </c>
      <c r="I5">
        <v>4.5</v>
      </c>
      <c r="J5" s="1">
        <f t="shared" si="0"/>
        <v>1.6666666666666665</v>
      </c>
      <c r="K5">
        <v>1</v>
      </c>
      <c r="L5" s="1">
        <f t="shared" si="1"/>
        <v>0.92692307692307696</v>
      </c>
      <c r="M5" s="1">
        <f t="shared" si="2"/>
        <v>0.81923076923076921</v>
      </c>
      <c r="N5" s="1">
        <f t="shared" si="3"/>
        <v>0.76153846153846161</v>
      </c>
    </row>
    <row r="6" spans="1:14" x14ac:dyDescent="0.2">
      <c r="A6">
        <v>10</v>
      </c>
      <c r="B6">
        <v>30.2</v>
      </c>
      <c r="C6">
        <v>3.4</v>
      </c>
      <c r="D6">
        <v>28.9</v>
      </c>
      <c r="E6">
        <v>3.2</v>
      </c>
      <c r="F6">
        <v>24.4</v>
      </c>
      <c r="G6">
        <v>4.7</v>
      </c>
      <c r="H6">
        <v>23</v>
      </c>
      <c r="I6">
        <v>4.5999999999999996</v>
      </c>
      <c r="J6" s="1">
        <f t="shared" si="0"/>
        <v>1.4374999999999998</v>
      </c>
      <c r="K6">
        <v>1</v>
      </c>
      <c r="L6" s="1">
        <f t="shared" si="1"/>
        <v>0.95695364238410596</v>
      </c>
      <c r="M6" s="1">
        <f t="shared" si="2"/>
        <v>0.80794701986754969</v>
      </c>
      <c r="N6" s="1">
        <f t="shared" si="3"/>
        <v>0.76158940397350994</v>
      </c>
    </row>
    <row r="7" spans="1:14" x14ac:dyDescent="0.2">
      <c r="A7">
        <v>12</v>
      </c>
      <c r="B7">
        <v>33.299999999999997</v>
      </c>
      <c r="C7">
        <v>4.4000000000000004</v>
      </c>
      <c r="D7">
        <v>32.4</v>
      </c>
      <c r="E7">
        <v>4</v>
      </c>
      <c r="F7">
        <v>26.8</v>
      </c>
      <c r="G7">
        <v>5.4</v>
      </c>
      <c r="H7">
        <v>26.1</v>
      </c>
      <c r="I7">
        <v>5.3</v>
      </c>
      <c r="J7" s="1">
        <f t="shared" si="0"/>
        <v>1.325</v>
      </c>
      <c r="K7">
        <v>1</v>
      </c>
      <c r="L7" s="1">
        <f t="shared" si="1"/>
        <v>0.97297297297297303</v>
      </c>
      <c r="M7" s="1">
        <f t="shared" si="2"/>
        <v>0.80480480480480487</v>
      </c>
      <c r="N7" s="1">
        <f t="shared" si="3"/>
        <v>0.78378378378378388</v>
      </c>
    </row>
    <row r="8" spans="1:14" x14ac:dyDescent="0.2">
      <c r="A8">
        <v>14</v>
      </c>
      <c r="B8">
        <v>36.5</v>
      </c>
      <c r="C8">
        <v>5.2</v>
      </c>
      <c r="D8">
        <v>35.799999999999997</v>
      </c>
      <c r="E8">
        <v>5</v>
      </c>
      <c r="F8">
        <v>28.8</v>
      </c>
      <c r="G8">
        <v>6.2</v>
      </c>
      <c r="H8">
        <v>27.9</v>
      </c>
      <c r="I8">
        <v>6.2</v>
      </c>
      <c r="J8" s="1">
        <f t="shared" si="0"/>
        <v>1.24</v>
      </c>
      <c r="K8">
        <v>1</v>
      </c>
      <c r="L8" s="1">
        <f t="shared" si="1"/>
        <v>0.98082191780821915</v>
      </c>
      <c r="M8" s="1">
        <f t="shared" si="2"/>
        <v>0.78904109589041094</v>
      </c>
      <c r="N8" s="1">
        <f t="shared" si="3"/>
        <v>0.76438356164383559</v>
      </c>
    </row>
    <row r="9" spans="1:14" x14ac:dyDescent="0.2">
      <c r="A9">
        <v>16</v>
      </c>
      <c r="B9">
        <v>40.5</v>
      </c>
      <c r="C9">
        <v>5.7</v>
      </c>
      <c r="D9">
        <v>39.700000000000003</v>
      </c>
      <c r="E9">
        <v>5.2</v>
      </c>
      <c r="F9">
        <v>30.9</v>
      </c>
      <c r="G9">
        <v>6.2</v>
      </c>
      <c r="H9">
        <v>30.1</v>
      </c>
      <c r="I9">
        <v>6</v>
      </c>
      <c r="J9" s="1">
        <f t="shared" si="0"/>
        <v>1.1538461538461537</v>
      </c>
      <c r="K9">
        <v>1</v>
      </c>
      <c r="L9" s="1">
        <f t="shared" si="1"/>
        <v>0.98024691358024696</v>
      </c>
      <c r="M9" s="1">
        <f t="shared" si="2"/>
        <v>0.76296296296296295</v>
      </c>
      <c r="N9" s="1">
        <f t="shared" si="3"/>
        <v>0.74320987654320991</v>
      </c>
    </row>
    <row r="10" spans="1:14" x14ac:dyDescent="0.2">
      <c r="A10">
        <v>18</v>
      </c>
      <c r="B10">
        <v>43.4</v>
      </c>
      <c r="C10">
        <v>6</v>
      </c>
      <c r="D10">
        <v>42</v>
      </c>
      <c r="E10">
        <v>5.8</v>
      </c>
      <c r="F10">
        <v>32.700000000000003</v>
      </c>
      <c r="G10">
        <v>6.8</v>
      </c>
      <c r="H10">
        <v>31.8</v>
      </c>
      <c r="I10">
        <v>6.8</v>
      </c>
      <c r="J10" s="1">
        <f t="shared" si="0"/>
        <v>1.1724137931034482</v>
      </c>
      <c r="K10">
        <v>1</v>
      </c>
      <c r="L10" s="1">
        <f t="shared" si="1"/>
        <v>0.967741935483871</v>
      </c>
      <c r="M10" s="1">
        <f t="shared" si="2"/>
        <v>0.75345622119815681</v>
      </c>
      <c r="N10" s="1">
        <f t="shared" si="3"/>
        <v>0.73271889400921664</v>
      </c>
    </row>
    <row r="11" spans="1:14" x14ac:dyDescent="0.2">
      <c r="A11">
        <v>20</v>
      </c>
      <c r="B11">
        <v>45.4</v>
      </c>
      <c r="C11">
        <v>6.5</v>
      </c>
      <c r="D11">
        <v>45.5</v>
      </c>
      <c r="E11">
        <v>6.3</v>
      </c>
      <c r="F11">
        <v>34.799999999999997</v>
      </c>
      <c r="G11">
        <v>6.9</v>
      </c>
      <c r="H11">
        <v>33.6</v>
      </c>
      <c r="I11">
        <v>6.7</v>
      </c>
      <c r="J11" s="1">
        <f t="shared" si="0"/>
        <v>1.0634920634920635</v>
      </c>
      <c r="K11">
        <v>1</v>
      </c>
      <c r="L11" s="1">
        <f t="shared" si="1"/>
        <v>1.0022026431718063</v>
      </c>
      <c r="M11" s="1">
        <f t="shared" si="2"/>
        <v>0.76651982378854622</v>
      </c>
      <c r="N11" s="1">
        <f t="shared" si="3"/>
        <v>0.74008810572687234</v>
      </c>
    </row>
    <row r="12" spans="1:14" x14ac:dyDescent="0.2">
      <c r="A12">
        <v>22</v>
      </c>
      <c r="B12">
        <v>49.5</v>
      </c>
      <c r="C12">
        <v>7.4</v>
      </c>
      <c r="D12">
        <v>48.6</v>
      </c>
      <c r="E12">
        <v>6.9</v>
      </c>
      <c r="F12">
        <v>36.5</v>
      </c>
      <c r="G12">
        <v>7.3</v>
      </c>
      <c r="H12">
        <v>35.6</v>
      </c>
      <c r="I12">
        <v>7</v>
      </c>
      <c r="J12" s="1">
        <f t="shared" si="0"/>
        <v>1.0144927536231882</v>
      </c>
      <c r="K12">
        <v>1</v>
      </c>
      <c r="L12" s="1">
        <f t="shared" si="1"/>
        <v>0.98181818181818181</v>
      </c>
      <c r="M12" s="1">
        <f t="shared" si="2"/>
        <v>0.73737373737373735</v>
      </c>
      <c r="N12" s="1">
        <f t="shared" si="3"/>
        <v>0.71919191919191927</v>
      </c>
    </row>
    <row r="13" spans="1:14" x14ac:dyDescent="0.2">
      <c r="A13">
        <v>24</v>
      </c>
      <c r="B13">
        <v>51.8</v>
      </c>
      <c r="C13">
        <v>8.4</v>
      </c>
      <c r="D13">
        <v>51</v>
      </c>
      <c r="E13">
        <v>8.1</v>
      </c>
      <c r="F13">
        <v>37.6</v>
      </c>
      <c r="G13">
        <v>8.4</v>
      </c>
      <c r="H13">
        <v>36.5</v>
      </c>
      <c r="I13">
        <v>8.4</v>
      </c>
      <c r="J13" s="1">
        <f t="shared" si="0"/>
        <v>1.0370370370370372</v>
      </c>
      <c r="K13">
        <v>1</v>
      </c>
      <c r="L13" s="1">
        <f t="shared" si="1"/>
        <v>0.98455598455598459</v>
      </c>
      <c r="M13" s="1">
        <f t="shared" si="2"/>
        <v>0.72586872586872597</v>
      </c>
      <c r="N13" s="1">
        <f t="shared" si="3"/>
        <v>0.70463320463320467</v>
      </c>
    </row>
    <row r="14" spans="1:14" x14ac:dyDescent="0.2">
      <c r="A14">
        <v>26</v>
      </c>
      <c r="B14">
        <v>55.2</v>
      </c>
      <c r="C14">
        <v>10.4</v>
      </c>
      <c r="D14">
        <v>53.5</v>
      </c>
      <c r="E14">
        <v>9.9</v>
      </c>
      <c r="F14">
        <v>39.700000000000003</v>
      </c>
      <c r="G14">
        <v>9.6999999999999993</v>
      </c>
      <c r="H14">
        <v>38.4</v>
      </c>
      <c r="I14">
        <v>9.5</v>
      </c>
      <c r="J14" s="1">
        <f t="shared" si="0"/>
        <v>0.95959595959595956</v>
      </c>
      <c r="K14">
        <v>1</v>
      </c>
      <c r="L14" s="1">
        <f t="shared" si="1"/>
        <v>0.96920289855072461</v>
      </c>
      <c r="M14" s="1">
        <f t="shared" si="2"/>
        <v>0.71920289855072461</v>
      </c>
      <c r="N14" s="1">
        <f t="shared" si="3"/>
        <v>0.69565217391304346</v>
      </c>
    </row>
    <row r="15" spans="1:14" x14ac:dyDescent="0.2">
      <c r="A15">
        <v>28</v>
      </c>
      <c r="B15">
        <v>58</v>
      </c>
      <c r="C15">
        <v>12</v>
      </c>
      <c r="D15">
        <v>56.6</v>
      </c>
      <c r="E15">
        <v>11.4</v>
      </c>
      <c r="F15">
        <v>41.5</v>
      </c>
      <c r="G15">
        <v>11.1</v>
      </c>
      <c r="H15">
        <v>40.799999999999997</v>
      </c>
      <c r="I15">
        <v>10.8</v>
      </c>
      <c r="J15" s="1">
        <f t="shared" si="0"/>
        <v>0.94736842105263164</v>
      </c>
      <c r="K15">
        <v>1</v>
      </c>
      <c r="L15" s="1">
        <f t="shared" si="1"/>
        <v>0.9758620689655173</v>
      </c>
      <c r="M15" s="1">
        <f t="shared" si="2"/>
        <v>0.71551724137931039</v>
      </c>
      <c r="N15" s="1">
        <f t="shared" si="3"/>
        <v>0.70344827586206893</v>
      </c>
    </row>
    <row r="16" spans="1:14" x14ac:dyDescent="0.2">
      <c r="A16">
        <v>30</v>
      </c>
      <c r="B16">
        <v>61.1</v>
      </c>
      <c r="C16">
        <v>14.2</v>
      </c>
      <c r="D16">
        <v>59.6</v>
      </c>
      <c r="E16">
        <v>14.2</v>
      </c>
      <c r="F16">
        <v>42.6</v>
      </c>
      <c r="G16">
        <v>13.1</v>
      </c>
      <c r="H16">
        <v>42.4</v>
      </c>
      <c r="I16">
        <v>13.3</v>
      </c>
      <c r="J16" s="1">
        <f t="shared" si="0"/>
        <v>0.93661971830985924</v>
      </c>
      <c r="K16">
        <v>1</v>
      </c>
      <c r="L16" s="1">
        <f t="shared" si="1"/>
        <v>0.97545008183306059</v>
      </c>
      <c r="M16" s="1">
        <f t="shared" si="2"/>
        <v>0.69721767594108019</v>
      </c>
      <c r="N16" s="1">
        <f t="shared" si="3"/>
        <v>0.69394435351882156</v>
      </c>
    </row>
    <row r="17" spans="1:14" x14ac:dyDescent="0.2">
      <c r="A17">
        <v>32</v>
      </c>
      <c r="B17">
        <v>63.5</v>
      </c>
      <c r="C17">
        <v>15.2</v>
      </c>
      <c r="D17">
        <v>62.2</v>
      </c>
      <c r="E17">
        <v>14.2</v>
      </c>
      <c r="F17">
        <v>43.8</v>
      </c>
      <c r="G17">
        <v>13.2</v>
      </c>
      <c r="H17">
        <v>43.3</v>
      </c>
      <c r="I17">
        <v>13</v>
      </c>
      <c r="J17" s="1">
        <f t="shared" si="0"/>
        <v>0.91549295774647887</v>
      </c>
      <c r="K17">
        <v>1</v>
      </c>
      <c r="L17" s="1">
        <f t="shared" si="1"/>
        <v>0.97952755905511812</v>
      </c>
      <c r="M17" s="1">
        <f t="shared" si="2"/>
        <v>0.68976377952755896</v>
      </c>
      <c r="N17" s="1">
        <f t="shared" si="3"/>
        <v>0.68188976377952748</v>
      </c>
    </row>
    <row r="18" spans="1:14" x14ac:dyDescent="0.2">
      <c r="A18">
        <v>34</v>
      </c>
      <c r="B18">
        <v>66.900000000000006</v>
      </c>
      <c r="C18">
        <v>16</v>
      </c>
      <c r="D18">
        <v>67</v>
      </c>
      <c r="E18">
        <v>15.6</v>
      </c>
      <c r="F18">
        <v>46.1</v>
      </c>
      <c r="G18">
        <v>14</v>
      </c>
      <c r="H18">
        <v>45.2</v>
      </c>
      <c r="I18">
        <v>13.6</v>
      </c>
      <c r="J18" s="1">
        <f t="shared" si="0"/>
        <v>0.87179487179487181</v>
      </c>
      <c r="K18">
        <v>1</v>
      </c>
      <c r="L18" s="1">
        <f t="shared" si="1"/>
        <v>1.0014947683109117</v>
      </c>
      <c r="M18" s="1">
        <f t="shared" si="2"/>
        <v>0.68908819133034371</v>
      </c>
      <c r="N18" s="1">
        <f t="shared" si="3"/>
        <v>0.67563527653213751</v>
      </c>
    </row>
    <row r="19" spans="1:14" x14ac:dyDescent="0.2">
      <c r="A19">
        <v>36</v>
      </c>
      <c r="B19">
        <v>68.099999999999994</v>
      </c>
      <c r="C19">
        <v>16</v>
      </c>
      <c r="D19">
        <v>67.400000000000006</v>
      </c>
      <c r="E19">
        <v>15.9</v>
      </c>
      <c r="F19">
        <v>46.6</v>
      </c>
      <c r="G19">
        <v>13.7</v>
      </c>
      <c r="H19">
        <v>46.6</v>
      </c>
      <c r="I19">
        <v>13.9</v>
      </c>
      <c r="J19" s="1">
        <f t="shared" si="0"/>
        <v>0.87421383647798745</v>
      </c>
      <c r="K19">
        <v>1</v>
      </c>
      <c r="L19" s="1">
        <f t="shared" si="1"/>
        <v>0.98972099853157136</v>
      </c>
      <c r="M19" s="1">
        <f t="shared" si="2"/>
        <v>0.68428781204111611</v>
      </c>
      <c r="N19" s="1">
        <f t="shared" si="3"/>
        <v>0.68428781204111611</v>
      </c>
    </row>
    <row r="20" spans="1:14" x14ac:dyDescent="0.2">
      <c r="A20">
        <v>38</v>
      </c>
      <c r="B20">
        <v>70.8</v>
      </c>
      <c r="C20">
        <v>17.399999999999999</v>
      </c>
      <c r="D20">
        <v>70.7</v>
      </c>
      <c r="E20">
        <v>16.8</v>
      </c>
      <c r="F20">
        <v>47.6</v>
      </c>
      <c r="G20">
        <v>14.3</v>
      </c>
      <c r="H20">
        <v>47.7</v>
      </c>
      <c r="I20">
        <v>14.5</v>
      </c>
      <c r="J20" s="1">
        <f t="shared" si="0"/>
        <v>0.86309523809523803</v>
      </c>
      <c r="K20">
        <v>1</v>
      </c>
      <c r="L20" s="1">
        <f t="shared" si="1"/>
        <v>0.99858757062146897</v>
      </c>
      <c r="M20" s="1">
        <f t="shared" si="2"/>
        <v>0.67231638418079098</v>
      </c>
      <c r="N20" s="1">
        <f t="shared" si="3"/>
        <v>0.67372881355932213</v>
      </c>
    </row>
    <row r="21" spans="1:14" x14ac:dyDescent="0.2">
      <c r="A21">
        <v>40</v>
      </c>
      <c r="B21">
        <v>72.900000000000006</v>
      </c>
      <c r="C21">
        <v>17.899999999999999</v>
      </c>
      <c r="D21">
        <v>72.900000000000006</v>
      </c>
      <c r="E21">
        <v>17.8</v>
      </c>
      <c r="F21">
        <v>49.5</v>
      </c>
      <c r="G21">
        <v>15.5</v>
      </c>
      <c r="H21">
        <v>49.1</v>
      </c>
      <c r="I21">
        <v>14.7</v>
      </c>
      <c r="J21" s="1">
        <f t="shared" si="0"/>
        <v>0.82584269662921339</v>
      </c>
      <c r="K21">
        <v>1</v>
      </c>
      <c r="L21" s="1">
        <f t="shared" si="1"/>
        <v>1</v>
      </c>
      <c r="M21" s="1">
        <f t="shared" si="2"/>
        <v>0.67901234567901225</v>
      </c>
      <c r="N21" s="1">
        <f t="shared" si="3"/>
        <v>0.6735253772290809</v>
      </c>
    </row>
    <row r="22" spans="1:14" x14ac:dyDescent="0.2">
      <c r="A22">
        <v>60</v>
      </c>
      <c r="B22">
        <v>98.4</v>
      </c>
      <c r="C22">
        <v>26.6</v>
      </c>
      <c r="D22">
        <v>98.4</v>
      </c>
      <c r="E22">
        <v>26.1</v>
      </c>
      <c r="F22">
        <v>61.9</v>
      </c>
      <c r="G22">
        <v>19.8</v>
      </c>
      <c r="H22">
        <v>61.3</v>
      </c>
      <c r="I22">
        <v>19.399999999999999</v>
      </c>
      <c r="J22" s="1">
        <f t="shared" si="0"/>
        <v>0.74329501915708807</v>
      </c>
      <c r="K22">
        <v>1</v>
      </c>
      <c r="L22" s="1">
        <f t="shared" si="1"/>
        <v>1</v>
      </c>
      <c r="M22" s="1">
        <f t="shared" si="2"/>
        <v>0.62906504065040647</v>
      </c>
      <c r="N22" s="1">
        <f t="shared" si="3"/>
        <v>0.62296747967479671</v>
      </c>
    </row>
    <row r="23" spans="1:14" x14ac:dyDescent="0.2">
      <c r="A23">
        <v>80</v>
      </c>
      <c r="B23">
        <v>122</v>
      </c>
      <c r="C23">
        <v>39.299999999999997</v>
      </c>
      <c r="D23">
        <v>121.3</v>
      </c>
      <c r="E23">
        <v>37.700000000000003</v>
      </c>
      <c r="F23">
        <v>72.900000000000006</v>
      </c>
      <c r="G23">
        <v>26</v>
      </c>
      <c r="H23">
        <v>72.2</v>
      </c>
      <c r="I23">
        <v>26.3</v>
      </c>
      <c r="J23" s="1">
        <f t="shared" si="0"/>
        <v>0.69761273209549068</v>
      </c>
      <c r="K23">
        <v>1</v>
      </c>
      <c r="L23" s="1">
        <f t="shared" si="1"/>
        <v>0.99426229508196717</v>
      </c>
      <c r="M23" s="1">
        <f t="shared" si="2"/>
        <v>0.59754098360655739</v>
      </c>
      <c r="N23" s="1">
        <f t="shared" si="3"/>
        <v>0.59180327868852456</v>
      </c>
    </row>
    <row r="24" spans="1:14" x14ac:dyDescent="0.2">
      <c r="A24">
        <v>100</v>
      </c>
      <c r="B24">
        <v>140.6</v>
      </c>
      <c r="C24">
        <v>51.7</v>
      </c>
      <c r="D24">
        <v>140.80000000000001</v>
      </c>
      <c r="E24">
        <v>51.1</v>
      </c>
      <c r="F24">
        <v>81.3</v>
      </c>
      <c r="G24">
        <v>32.4</v>
      </c>
      <c r="H24">
        <v>81.2</v>
      </c>
      <c r="I24">
        <v>32.799999999999997</v>
      </c>
      <c r="J24" s="1">
        <f t="shared" si="0"/>
        <v>0.64187866927592951</v>
      </c>
      <c r="K24">
        <v>1</v>
      </c>
      <c r="L24" s="1">
        <f t="shared" si="1"/>
        <v>1.0014224751066858</v>
      </c>
      <c r="M24" s="1">
        <f t="shared" si="2"/>
        <v>0.57823613086770986</v>
      </c>
      <c r="N24" s="1">
        <f t="shared" si="3"/>
        <v>0.57752489331436707</v>
      </c>
    </row>
    <row r="25" spans="1:14" x14ac:dyDescent="0.2">
      <c r="A25">
        <v>120</v>
      </c>
      <c r="B25">
        <v>161.80000000000001</v>
      </c>
      <c r="C25">
        <v>66.099999999999994</v>
      </c>
      <c r="D25">
        <v>160</v>
      </c>
      <c r="E25">
        <v>64.099999999999994</v>
      </c>
      <c r="F25">
        <v>90.1</v>
      </c>
      <c r="G25">
        <v>39</v>
      </c>
      <c r="H25">
        <v>90.3</v>
      </c>
      <c r="I25">
        <v>39.299999999999997</v>
      </c>
      <c r="J25" s="1">
        <f t="shared" si="0"/>
        <v>0.61310452418096728</v>
      </c>
      <c r="K25">
        <v>1</v>
      </c>
      <c r="L25" s="1">
        <f t="shared" si="1"/>
        <v>0.98887515451174279</v>
      </c>
      <c r="M25" s="1">
        <f t="shared" si="2"/>
        <v>0.55686032138442509</v>
      </c>
      <c r="N25" s="1">
        <f t="shared" si="3"/>
        <v>0.55809641532756482</v>
      </c>
    </row>
    <row r="26" spans="1:14" x14ac:dyDescent="0.2">
      <c r="A26">
        <v>140</v>
      </c>
      <c r="B26">
        <v>181.4</v>
      </c>
      <c r="C26">
        <v>79.599999999999994</v>
      </c>
      <c r="D26">
        <v>181</v>
      </c>
      <c r="E26">
        <v>78.099999999999994</v>
      </c>
      <c r="F26">
        <v>98.8</v>
      </c>
      <c r="G26">
        <v>45.6</v>
      </c>
      <c r="H26">
        <v>98.7</v>
      </c>
      <c r="I26">
        <v>46.4</v>
      </c>
      <c r="J26" s="1">
        <f t="shared" si="0"/>
        <v>0.59411011523687585</v>
      </c>
      <c r="K26">
        <v>1</v>
      </c>
      <c r="L26" s="1">
        <f t="shared" si="1"/>
        <v>0.99779492833517092</v>
      </c>
      <c r="M26" s="1">
        <f t="shared" si="2"/>
        <v>0.54465270121278941</v>
      </c>
      <c r="N26" s="1">
        <f t="shared" si="3"/>
        <v>0.54410143329658212</v>
      </c>
    </row>
    <row r="27" spans="1:14" x14ac:dyDescent="0.2">
      <c r="A27">
        <v>160</v>
      </c>
      <c r="B27">
        <v>196.8</v>
      </c>
      <c r="C27">
        <v>140.80000000000001</v>
      </c>
      <c r="D27">
        <v>196</v>
      </c>
      <c r="E27">
        <v>138.9</v>
      </c>
      <c r="F27">
        <v>104.9</v>
      </c>
      <c r="G27">
        <v>77.099999999999994</v>
      </c>
      <c r="H27">
        <v>105.1</v>
      </c>
      <c r="I27">
        <v>75.3</v>
      </c>
      <c r="J27" s="1">
        <f t="shared" si="0"/>
        <v>0.54211663066954641</v>
      </c>
      <c r="K27">
        <v>1</v>
      </c>
      <c r="L27" s="1">
        <f t="shared" si="1"/>
        <v>0.99593495934959342</v>
      </c>
      <c r="M27" s="1">
        <f t="shared" si="2"/>
        <v>0.53302845528455289</v>
      </c>
      <c r="N27" s="1">
        <f t="shared" si="3"/>
        <v>0.53404471544715437</v>
      </c>
    </row>
    <row r="28" spans="1:14" x14ac:dyDescent="0.2">
      <c r="A28">
        <v>180</v>
      </c>
      <c r="B28">
        <v>214.7</v>
      </c>
      <c r="C28">
        <v>121.2</v>
      </c>
      <c r="D28">
        <v>213.5</v>
      </c>
      <c r="E28">
        <v>118.6</v>
      </c>
      <c r="F28">
        <v>112.8</v>
      </c>
      <c r="G28">
        <v>65.5</v>
      </c>
      <c r="H28">
        <v>111.9</v>
      </c>
      <c r="I28">
        <v>64.8</v>
      </c>
      <c r="J28" s="1">
        <f t="shared" si="0"/>
        <v>0.54637436762225966</v>
      </c>
      <c r="K28">
        <v>1</v>
      </c>
      <c r="L28" s="1">
        <f t="shared" si="1"/>
        <v>0.99441080577550078</v>
      </c>
      <c r="M28" s="1">
        <f t="shared" si="2"/>
        <v>0.52538425710293435</v>
      </c>
      <c r="N28" s="1">
        <f t="shared" si="3"/>
        <v>0.52119236143455994</v>
      </c>
    </row>
    <row r="29" spans="1:14" x14ac:dyDescent="0.2">
      <c r="A29">
        <v>200</v>
      </c>
      <c r="B29">
        <v>231.3</v>
      </c>
      <c r="C29">
        <v>129.30000000000001</v>
      </c>
      <c r="D29">
        <v>229.6</v>
      </c>
      <c r="E29">
        <v>126.3</v>
      </c>
      <c r="F29">
        <v>119</v>
      </c>
      <c r="G29">
        <v>67.3</v>
      </c>
      <c r="H29">
        <v>118.2</v>
      </c>
      <c r="I29">
        <v>67</v>
      </c>
      <c r="J29" s="1">
        <f t="shared" si="0"/>
        <v>0.53048297703879654</v>
      </c>
      <c r="K29">
        <v>1</v>
      </c>
      <c r="L29" s="1">
        <f t="shared" si="1"/>
        <v>0.99265023778642447</v>
      </c>
      <c r="M29" s="1">
        <f t="shared" si="2"/>
        <v>0.51448335495028097</v>
      </c>
      <c r="N29" s="1">
        <f t="shared" si="3"/>
        <v>0.51102464332036313</v>
      </c>
    </row>
    <row r="30" spans="1:14" x14ac:dyDescent="0.2">
      <c r="A30">
        <v>300</v>
      </c>
      <c r="B30">
        <v>300.39999999999998</v>
      </c>
      <c r="C30">
        <v>229.2</v>
      </c>
      <c r="D30">
        <v>300.2</v>
      </c>
      <c r="E30">
        <v>225.2</v>
      </c>
      <c r="F30">
        <v>145.80000000000001</v>
      </c>
      <c r="G30">
        <v>109.8</v>
      </c>
      <c r="H30">
        <v>145.69999999999999</v>
      </c>
      <c r="I30">
        <v>109.3</v>
      </c>
      <c r="J30" s="1">
        <f t="shared" si="0"/>
        <v>0.48534635879218474</v>
      </c>
      <c r="K30">
        <v>1</v>
      </c>
      <c r="L30" s="1">
        <f t="shared" si="1"/>
        <v>0.99933422103861524</v>
      </c>
      <c r="M30" s="1">
        <f t="shared" si="2"/>
        <v>0.48535286284953405</v>
      </c>
      <c r="N30" s="1">
        <f t="shared" si="3"/>
        <v>0.48501997336884156</v>
      </c>
    </row>
    <row r="31" spans="1:14" x14ac:dyDescent="0.2">
      <c r="A31">
        <v>400</v>
      </c>
      <c r="B31">
        <v>355.8</v>
      </c>
      <c r="C31">
        <v>333.3</v>
      </c>
      <c r="D31">
        <v>355.6</v>
      </c>
      <c r="E31">
        <v>328.8</v>
      </c>
      <c r="F31">
        <v>165.5</v>
      </c>
      <c r="G31">
        <v>148.4</v>
      </c>
      <c r="H31">
        <v>166.4</v>
      </c>
      <c r="I31">
        <v>148.80000000000001</v>
      </c>
      <c r="J31" s="1">
        <f t="shared" si="0"/>
        <v>0.45255474452554745</v>
      </c>
      <c r="K31">
        <v>1</v>
      </c>
      <c r="L31" s="1">
        <f t="shared" si="1"/>
        <v>0.99943788645306353</v>
      </c>
      <c r="M31" s="1">
        <f t="shared" si="2"/>
        <v>0.46514896008993817</v>
      </c>
      <c r="N31" s="1">
        <f t="shared" si="3"/>
        <v>0.46767847105115234</v>
      </c>
    </row>
    <row r="32" spans="1:14" x14ac:dyDescent="0.2">
      <c r="A32">
        <v>500</v>
      </c>
      <c r="B32">
        <v>404.5</v>
      </c>
      <c r="C32">
        <v>498.9</v>
      </c>
      <c r="D32">
        <v>402.7</v>
      </c>
      <c r="E32">
        <v>489</v>
      </c>
      <c r="F32">
        <v>183.7</v>
      </c>
      <c r="G32">
        <v>210.3</v>
      </c>
      <c r="H32">
        <v>182.8</v>
      </c>
      <c r="I32">
        <v>210.6</v>
      </c>
      <c r="J32" s="1">
        <f t="shared" si="0"/>
        <v>0.43067484662576688</v>
      </c>
      <c r="K32">
        <v>1</v>
      </c>
      <c r="L32" s="1">
        <f t="shared" si="1"/>
        <v>0.99555006180469718</v>
      </c>
      <c r="M32" s="1">
        <f t="shared" si="2"/>
        <v>0.4541409147095179</v>
      </c>
      <c r="N32" s="1">
        <f t="shared" si="3"/>
        <v>0.45191594561186654</v>
      </c>
    </row>
    <row r="33" spans="1:14" x14ac:dyDescent="0.2">
      <c r="A33">
        <v>600</v>
      </c>
      <c r="B33">
        <v>447.2</v>
      </c>
      <c r="C33">
        <v>619.6</v>
      </c>
      <c r="D33">
        <v>446.9</v>
      </c>
      <c r="E33">
        <v>608.29999999999995</v>
      </c>
      <c r="F33">
        <v>197.5</v>
      </c>
      <c r="G33">
        <v>246.1</v>
      </c>
      <c r="H33">
        <v>198.6</v>
      </c>
      <c r="I33">
        <v>247.4</v>
      </c>
      <c r="J33" s="1">
        <f t="shared" si="0"/>
        <v>0.40670721683379918</v>
      </c>
      <c r="K33">
        <v>1</v>
      </c>
      <c r="L33" s="1">
        <f t="shared" si="1"/>
        <v>0.99932915921288012</v>
      </c>
      <c r="M33" s="1">
        <f t="shared" si="2"/>
        <v>0.44163685152057247</v>
      </c>
      <c r="N33" s="1">
        <f t="shared" si="3"/>
        <v>0.44409660107334525</v>
      </c>
    </row>
    <row r="34" spans="1:14" x14ac:dyDescent="0.2">
      <c r="A34">
        <v>700</v>
      </c>
      <c r="B34">
        <v>480</v>
      </c>
      <c r="C34">
        <v>644.70000000000005</v>
      </c>
      <c r="D34">
        <v>482.3</v>
      </c>
      <c r="E34">
        <v>638.1</v>
      </c>
      <c r="F34">
        <v>209.1</v>
      </c>
      <c r="G34">
        <v>249</v>
      </c>
      <c r="H34">
        <v>208.5</v>
      </c>
      <c r="I34">
        <v>249.6</v>
      </c>
      <c r="J34" s="1">
        <f t="shared" si="0"/>
        <v>0.39116125999059709</v>
      </c>
      <c r="K34">
        <v>1</v>
      </c>
      <c r="L34" s="1">
        <f t="shared" si="1"/>
        <v>1.0047916666666667</v>
      </c>
      <c r="M34" s="1">
        <f t="shared" si="2"/>
        <v>0.43562499999999998</v>
      </c>
      <c r="N34" s="1">
        <f t="shared" si="3"/>
        <v>0.43437500000000001</v>
      </c>
    </row>
    <row r="35" spans="1:14" x14ac:dyDescent="0.2">
      <c r="A35">
        <v>800</v>
      </c>
      <c r="B35">
        <v>513.79999999999995</v>
      </c>
      <c r="C35">
        <v>757.1</v>
      </c>
      <c r="D35">
        <v>517</v>
      </c>
      <c r="E35">
        <v>749.7</v>
      </c>
      <c r="F35">
        <v>220.9</v>
      </c>
      <c r="G35">
        <v>283.3</v>
      </c>
      <c r="H35">
        <v>219.8</v>
      </c>
      <c r="I35">
        <v>284.5</v>
      </c>
      <c r="J35" s="1">
        <f t="shared" si="0"/>
        <v>0.37948512738428702</v>
      </c>
      <c r="K35">
        <v>1</v>
      </c>
      <c r="L35" s="1">
        <f t="shared" si="1"/>
        <v>1.0062281043207475</v>
      </c>
      <c r="M35" s="1">
        <f t="shared" si="2"/>
        <v>0.42993382639159211</v>
      </c>
      <c r="N35" s="1">
        <f t="shared" si="3"/>
        <v>0.42779291553133519</v>
      </c>
    </row>
    <row r="36" spans="1:14" x14ac:dyDescent="0.2">
      <c r="A36">
        <v>900</v>
      </c>
      <c r="B36">
        <v>543.29999999999995</v>
      </c>
      <c r="C36">
        <v>817</v>
      </c>
      <c r="D36">
        <v>540.6</v>
      </c>
      <c r="E36">
        <v>805.7</v>
      </c>
      <c r="F36">
        <v>230.4</v>
      </c>
      <c r="G36">
        <v>297</v>
      </c>
      <c r="H36">
        <v>228.6</v>
      </c>
      <c r="I36">
        <v>295.5</v>
      </c>
      <c r="J36" s="1">
        <f t="shared" si="0"/>
        <v>0.36676182201812085</v>
      </c>
      <c r="K36">
        <v>1</v>
      </c>
      <c r="L36" s="1">
        <f t="shared" si="1"/>
        <v>0.99503036996134742</v>
      </c>
      <c r="M36" s="1">
        <f t="shared" si="2"/>
        <v>0.42407509663169524</v>
      </c>
      <c r="N36" s="1">
        <f t="shared" si="3"/>
        <v>0.42076200993926011</v>
      </c>
    </row>
    <row r="37" spans="1:14" x14ac:dyDescent="0.2">
      <c r="A37">
        <v>1000</v>
      </c>
      <c r="B37">
        <v>572</v>
      </c>
      <c r="C37">
        <v>973.8</v>
      </c>
      <c r="D37">
        <v>572.70000000000005</v>
      </c>
      <c r="E37">
        <v>965.1</v>
      </c>
      <c r="F37">
        <v>238.8</v>
      </c>
      <c r="G37">
        <v>340.9</v>
      </c>
      <c r="H37">
        <v>238.7</v>
      </c>
      <c r="I37">
        <v>341.7</v>
      </c>
      <c r="J37" s="1">
        <f t="shared" si="0"/>
        <v>0.35405657444824368</v>
      </c>
      <c r="K37">
        <v>1</v>
      </c>
      <c r="L37" s="1">
        <f t="shared" si="1"/>
        <v>1.0012237762237763</v>
      </c>
      <c r="M37" s="1">
        <f t="shared" si="2"/>
        <v>0.41748251748251752</v>
      </c>
      <c r="N37" s="1">
        <f t="shared" si="3"/>
        <v>0.41730769230769227</v>
      </c>
    </row>
    <row r="38" spans="1:14" x14ac:dyDescent="0.2">
      <c r="A38">
        <v>1100</v>
      </c>
      <c r="B38">
        <v>590.70000000000005</v>
      </c>
      <c r="C38">
        <v>1028</v>
      </c>
      <c r="D38">
        <v>591.70000000000005</v>
      </c>
      <c r="E38">
        <v>1004.1</v>
      </c>
      <c r="F38">
        <v>244.8</v>
      </c>
      <c r="G38">
        <v>349.7</v>
      </c>
      <c r="H38">
        <v>245.1</v>
      </c>
      <c r="I38">
        <v>350.8</v>
      </c>
      <c r="J38" s="1">
        <f t="shared" si="0"/>
        <v>0.34936759286923613</v>
      </c>
      <c r="K38">
        <v>1</v>
      </c>
      <c r="L38" s="1">
        <f t="shared" si="1"/>
        <v>1.0016929067208398</v>
      </c>
      <c r="M38" s="1">
        <f t="shared" si="2"/>
        <v>0.41442356526155405</v>
      </c>
      <c r="N38" s="1">
        <f t="shared" si="3"/>
        <v>0.41493143727780596</v>
      </c>
    </row>
    <row r="39" spans="1:14" x14ac:dyDescent="0.2">
      <c r="A39">
        <v>1200</v>
      </c>
      <c r="B39">
        <v>614.6</v>
      </c>
      <c r="C39">
        <v>1176</v>
      </c>
      <c r="D39">
        <v>616.4</v>
      </c>
      <c r="E39">
        <v>1147.8</v>
      </c>
      <c r="F39">
        <v>252.6</v>
      </c>
      <c r="G39">
        <v>390.8</v>
      </c>
      <c r="H39">
        <v>252.6</v>
      </c>
      <c r="I39">
        <v>391.5</v>
      </c>
      <c r="J39" s="1">
        <f t="shared" si="0"/>
        <v>0.34108729743857819</v>
      </c>
      <c r="K39">
        <v>1</v>
      </c>
      <c r="L39" s="1">
        <f t="shared" si="1"/>
        <v>1.0029287341360233</v>
      </c>
      <c r="M39" s="1">
        <f t="shared" si="2"/>
        <v>0.41099902375528796</v>
      </c>
      <c r="N39" s="1">
        <f t="shared" si="3"/>
        <v>0.41099902375528796</v>
      </c>
    </row>
    <row r="40" spans="1:14" x14ac:dyDescent="0.2">
      <c r="A40">
        <v>1300</v>
      </c>
      <c r="B40">
        <v>635.29999999999995</v>
      </c>
      <c r="C40">
        <v>1283.0999999999999</v>
      </c>
      <c r="D40">
        <v>636.20000000000005</v>
      </c>
      <c r="E40">
        <v>1264</v>
      </c>
      <c r="F40">
        <v>258.10000000000002</v>
      </c>
      <c r="G40">
        <v>422</v>
      </c>
      <c r="H40">
        <v>257.89999999999998</v>
      </c>
      <c r="I40">
        <v>421.2</v>
      </c>
      <c r="J40" s="1">
        <f t="shared" si="0"/>
        <v>0.33322784810126582</v>
      </c>
      <c r="K40">
        <v>1</v>
      </c>
      <c r="L40" s="1">
        <f t="shared" si="1"/>
        <v>1.0014166535495044</v>
      </c>
      <c r="M40" s="1">
        <f t="shared" si="2"/>
        <v>0.40626475680780738</v>
      </c>
      <c r="N40" s="1">
        <f t="shared" si="3"/>
        <v>0.40594994490791753</v>
      </c>
    </row>
    <row r="41" spans="1:14" x14ac:dyDescent="0.2">
      <c r="A41">
        <v>1400</v>
      </c>
      <c r="B41">
        <v>654.5</v>
      </c>
      <c r="C41">
        <v>1486.4</v>
      </c>
      <c r="D41">
        <v>651.29999999999995</v>
      </c>
      <c r="E41">
        <v>1461</v>
      </c>
      <c r="F41">
        <v>264.3</v>
      </c>
      <c r="G41">
        <v>483.9</v>
      </c>
      <c r="H41">
        <v>263.89999999999998</v>
      </c>
      <c r="I41">
        <v>482.2</v>
      </c>
      <c r="J41" s="1">
        <f t="shared" si="0"/>
        <v>0.33004791238877479</v>
      </c>
      <c r="K41">
        <v>1</v>
      </c>
      <c r="L41" s="1">
        <f t="shared" si="1"/>
        <v>0.99511077158135974</v>
      </c>
      <c r="M41" s="1">
        <f t="shared" si="2"/>
        <v>0.40381970970206266</v>
      </c>
      <c r="N41" s="1">
        <f t="shared" si="3"/>
        <v>0.40320855614973261</v>
      </c>
    </row>
    <row r="42" spans="1:14" x14ac:dyDescent="0.2">
      <c r="A42">
        <v>1500</v>
      </c>
      <c r="B42">
        <v>671.6</v>
      </c>
      <c r="C42">
        <v>1623.3</v>
      </c>
      <c r="D42">
        <v>672.9</v>
      </c>
      <c r="E42">
        <v>1615</v>
      </c>
      <c r="F42">
        <v>269.60000000000002</v>
      </c>
      <c r="G42">
        <v>518.4</v>
      </c>
      <c r="H42">
        <v>269.2</v>
      </c>
      <c r="I42">
        <v>518.20000000000005</v>
      </c>
      <c r="J42" s="1">
        <f t="shared" si="0"/>
        <v>0.32086687306501549</v>
      </c>
      <c r="K42">
        <v>1</v>
      </c>
      <c r="L42" s="1">
        <f t="shared" si="1"/>
        <v>1.0019356759976175</v>
      </c>
      <c r="M42" s="1">
        <f t="shared" si="2"/>
        <v>0.40142942227516382</v>
      </c>
      <c r="N42" s="1">
        <f t="shared" si="3"/>
        <v>0.40083382966051218</v>
      </c>
    </row>
    <row r="43" spans="1:14" x14ac:dyDescent="0.2">
      <c r="A43">
        <v>1600</v>
      </c>
      <c r="B43">
        <v>685.4</v>
      </c>
      <c r="C43">
        <v>1589.3</v>
      </c>
      <c r="D43">
        <v>689.1</v>
      </c>
      <c r="E43">
        <v>1577.8</v>
      </c>
      <c r="F43">
        <v>274.5</v>
      </c>
      <c r="G43">
        <v>502.6</v>
      </c>
      <c r="H43">
        <v>273.10000000000002</v>
      </c>
      <c r="I43">
        <v>497.7</v>
      </c>
      <c r="J43" s="1">
        <f t="shared" si="0"/>
        <v>0.31543921916592726</v>
      </c>
      <c r="K43">
        <v>1</v>
      </c>
      <c r="L43" s="1">
        <f t="shared" si="1"/>
        <v>1.0053983075576307</v>
      </c>
      <c r="M43" s="1">
        <f t="shared" si="2"/>
        <v>0.40049606069448501</v>
      </c>
      <c r="N43" s="1">
        <f t="shared" si="3"/>
        <v>0.39845345783484104</v>
      </c>
    </row>
    <row r="44" spans="1:14" x14ac:dyDescent="0.2">
      <c r="A44">
        <v>1700</v>
      </c>
      <c r="B44">
        <v>699.4</v>
      </c>
      <c r="C44">
        <v>1771.2</v>
      </c>
      <c r="D44">
        <v>703.8</v>
      </c>
      <c r="E44">
        <v>1751.7</v>
      </c>
      <c r="F44">
        <v>278.2</v>
      </c>
      <c r="G44">
        <v>545.9</v>
      </c>
      <c r="H44">
        <v>278.60000000000002</v>
      </c>
      <c r="I44">
        <v>549.29999999999995</v>
      </c>
      <c r="J44" s="1">
        <f t="shared" si="0"/>
        <v>0.3135810926528515</v>
      </c>
      <c r="K44">
        <v>1</v>
      </c>
      <c r="L44" s="1">
        <f t="shared" si="1"/>
        <v>1.0062911066628539</v>
      </c>
      <c r="M44" s="1">
        <f t="shared" si="2"/>
        <v>0.39776951672862454</v>
      </c>
      <c r="N44" s="1">
        <f t="shared" si="3"/>
        <v>0.39834143551615675</v>
      </c>
    </row>
    <row r="45" spans="1:14" x14ac:dyDescent="0.2">
      <c r="A45">
        <v>1800</v>
      </c>
      <c r="B45">
        <v>715.9</v>
      </c>
      <c r="C45">
        <v>1606.4</v>
      </c>
      <c r="D45">
        <v>716.3</v>
      </c>
      <c r="E45">
        <v>1590.4</v>
      </c>
      <c r="F45">
        <v>282.10000000000002</v>
      </c>
      <c r="G45">
        <v>488.6</v>
      </c>
      <c r="H45">
        <v>281.8</v>
      </c>
      <c r="I45">
        <v>489.5</v>
      </c>
      <c r="J45" s="1">
        <f t="shared" si="0"/>
        <v>0.30778420523138833</v>
      </c>
      <c r="K45">
        <v>1</v>
      </c>
      <c r="L45" s="1">
        <f t="shared" si="1"/>
        <v>1.0005587372538063</v>
      </c>
      <c r="M45" s="1">
        <f t="shared" si="2"/>
        <v>0.39404944824696192</v>
      </c>
      <c r="N45" s="1">
        <f t="shared" si="3"/>
        <v>0.39363039530660709</v>
      </c>
    </row>
    <row r="46" spans="1:14" x14ac:dyDescent="0.2">
      <c r="A46">
        <v>1900</v>
      </c>
      <c r="B46">
        <v>725.5</v>
      </c>
      <c r="C46">
        <v>1714.2</v>
      </c>
      <c r="D46">
        <v>730</v>
      </c>
      <c r="E46">
        <v>1701</v>
      </c>
      <c r="F46">
        <v>286.2</v>
      </c>
      <c r="G46">
        <v>517.9</v>
      </c>
      <c r="H46">
        <v>283.89999999999998</v>
      </c>
      <c r="I46">
        <v>512.20000000000005</v>
      </c>
      <c r="J46" s="1">
        <f t="shared" si="0"/>
        <v>0.30111699000587894</v>
      </c>
      <c r="K46">
        <v>1</v>
      </c>
      <c r="L46" s="1">
        <f t="shared" si="1"/>
        <v>1.0062026188835287</v>
      </c>
      <c r="M46" s="1">
        <f t="shared" si="2"/>
        <v>0.39448656099241902</v>
      </c>
      <c r="N46" s="1">
        <f t="shared" si="3"/>
        <v>0.39131633356305995</v>
      </c>
    </row>
    <row r="47" spans="1:14" x14ac:dyDescent="0.2">
      <c r="L47" s="1"/>
      <c r="M47" s="1"/>
      <c r="N47" s="1"/>
    </row>
    <row r="48" spans="1:14" x14ac:dyDescent="0.2">
      <c r="L48" s="1"/>
      <c r="M48" s="1"/>
      <c r="N48" s="1"/>
    </row>
    <row r="49" spans="12:14" x14ac:dyDescent="0.2">
      <c r="L49" s="1"/>
      <c r="M49" s="1"/>
      <c r="N49" s="1"/>
    </row>
    <row r="50" spans="12:14" x14ac:dyDescent="0.2">
      <c r="L50" s="1"/>
      <c r="M50" s="1"/>
      <c r="N50" s="1"/>
    </row>
    <row r="51" spans="12:14" x14ac:dyDescent="0.2">
      <c r="L51" s="1"/>
      <c r="M51" s="1"/>
      <c r="N51" s="1"/>
    </row>
    <row r="52" spans="12:14" x14ac:dyDescent="0.2">
      <c r="L52" s="1"/>
      <c r="M52" s="1"/>
      <c r="N52" s="1"/>
    </row>
    <row r="53" spans="12:14" x14ac:dyDescent="0.2">
      <c r="L53" s="1"/>
      <c r="M53" s="1"/>
      <c r="N53" s="1"/>
    </row>
    <row r="54" spans="12:14" x14ac:dyDescent="0.2">
      <c r="L54" s="1"/>
      <c r="M54" s="1"/>
      <c r="N54" s="1"/>
    </row>
    <row r="55" spans="12:14" x14ac:dyDescent="0.2">
      <c r="L55" s="1"/>
      <c r="M55" s="1"/>
      <c r="N55" s="1"/>
    </row>
    <row r="56" spans="12:14" x14ac:dyDescent="0.2">
      <c r="L56" s="1"/>
      <c r="M56" s="1"/>
      <c r="N56" s="1"/>
    </row>
    <row r="57" spans="12:14" x14ac:dyDescent="0.2">
      <c r="L57" s="1"/>
      <c r="M57" s="1"/>
      <c r="N57" s="1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0823-5CD8-3940-ADAD-49121E744578}">
  <dimension ref="A1:N49"/>
  <sheetViews>
    <sheetView topLeftCell="A6" workbookViewId="0">
      <selection activeCell="J2" sqref="J2:J3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23</v>
      </c>
      <c r="C2">
        <v>5.5</v>
      </c>
      <c r="D2">
        <v>17.899999999999999</v>
      </c>
      <c r="E2">
        <v>5.0999999999999996</v>
      </c>
      <c r="F2">
        <v>30.2</v>
      </c>
      <c r="G2">
        <v>7.3</v>
      </c>
      <c r="H2">
        <v>16.399999999999999</v>
      </c>
      <c r="I2">
        <v>6.6</v>
      </c>
      <c r="J2" s="1">
        <f t="shared" ref="J2:J45" si="0">I2/E2</f>
        <v>1.2941176470588236</v>
      </c>
      <c r="K2">
        <v>1</v>
      </c>
      <c r="L2" s="1">
        <f>D2/B2</f>
        <v>0.77826086956521734</v>
      </c>
      <c r="M2" s="1">
        <f>F2/B2</f>
        <v>1.3130434782608695</v>
      </c>
      <c r="N2" s="1">
        <f t="shared" ref="N2:N29" si="1">H2/B2</f>
        <v>0.71304347826086956</v>
      </c>
    </row>
    <row r="3" spans="1:14" x14ac:dyDescent="0.2">
      <c r="A3">
        <v>4</v>
      </c>
      <c r="B3">
        <v>49.6</v>
      </c>
      <c r="C3">
        <v>6.7</v>
      </c>
      <c r="D3">
        <v>45.6</v>
      </c>
      <c r="E3">
        <v>6.6</v>
      </c>
      <c r="F3">
        <v>51.8</v>
      </c>
      <c r="G3">
        <v>8</v>
      </c>
      <c r="H3">
        <v>37.9</v>
      </c>
      <c r="I3">
        <v>7</v>
      </c>
      <c r="J3" s="1">
        <f t="shared" si="0"/>
        <v>1.0606060606060606</v>
      </c>
      <c r="K3">
        <v>1</v>
      </c>
      <c r="L3" s="1">
        <f t="shared" ref="L3:L29" si="2">D3/B3</f>
        <v>0.91935483870967738</v>
      </c>
      <c r="M3" s="1">
        <f t="shared" ref="M3:M29" si="3">F3/B3</f>
        <v>1.0443548387096773</v>
      </c>
      <c r="N3" s="1">
        <f t="shared" si="1"/>
        <v>0.76411290322580638</v>
      </c>
    </row>
    <row r="4" spans="1:14" x14ac:dyDescent="0.2">
      <c r="A4">
        <v>6</v>
      </c>
      <c r="B4">
        <v>73.2</v>
      </c>
      <c r="C4">
        <v>9.5</v>
      </c>
      <c r="D4">
        <v>69.2</v>
      </c>
      <c r="E4">
        <v>9.1999999999999993</v>
      </c>
      <c r="F4">
        <v>67.3</v>
      </c>
      <c r="G4">
        <v>9.6</v>
      </c>
      <c r="H4">
        <v>58.8</v>
      </c>
      <c r="I4">
        <v>9.3000000000000007</v>
      </c>
      <c r="J4" s="1">
        <f t="shared" si="0"/>
        <v>1.0108695652173914</v>
      </c>
      <c r="K4">
        <v>1</v>
      </c>
      <c r="L4" s="1">
        <f t="shared" si="2"/>
        <v>0.94535519125683065</v>
      </c>
      <c r="M4" s="1">
        <f t="shared" si="3"/>
        <v>0.9193989071038251</v>
      </c>
      <c r="N4" s="1">
        <f t="shared" si="1"/>
        <v>0.80327868852459006</v>
      </c>
    </row>
    <row r="5" spans="1:14" x14ac:dyDescent="0.2">
      <c r="A5">
        <v>8</v>
      </c>
      <c r="B5">
        <v>93</v>
      </c>
      <c r="C5">
        <v>11.1</v>
      </c>
      <c r="D5">
        <v>88.2</v>
      </c>
      <c r="E5">
        <v>10.6</v>
      </c>
      <c r="F5">
        <v>83.4</v>
      </c>
      <c r="G5">
        <v>10.6</v>
      </c>
      <c r="H5">
        <v>74.900000000000006</v>
      </c>
      <c r="I5">
        <v>9.6</v>
      </c>
      <c r="J5" s="1">
        <f t="shared" si="0"/>
        <v>0.90566037735849059</v>
      </c>
      <c r="K5">
        <v>1</v>
      </c>
      <c r="L5" s="1">
        <f t="shared" si="2"/>
        <v>0.94838709677419353</v>
      </c>
      <c r="M5" s="1">
        <f t="shared" si="3"/>
        <v>0.89677419354838717</v>
      </c>
      <c r="N5" s="1">
        <f t="shared" si="1"/>
        <v>0.80537634408602155</v>
      </c>
    </row>
    <row r="6" spans="1:14" x14ac:dyDescent="0.2">
      <c r="A6">
        <v>10</v>
      </c>
      <c r="B6">
        <v>106.6</v>
      </c>
      <c r="C6">
        <v>13.5</v>
      </c>
      <c r="D6">
        <v>101.9</v>
      </c>
      <c r="E6">
        <v>13.2</v>
      </c>
      <c r="F6">
        <v>93.8</v>
      </c>
      <c r="G6">
        <v>12</v>
      </c>
      <c r="H6">
        <v>87.2</v>
      </c>
      <c r="I6">
        <v>11.5</v>
      </c>
      <c r="J6" s="1">
        <f t="shared" si="0"/>
        <v>0.87121212121212122</v>
      </c>
      <c r="K6">
        <v>1</v>
      </c>
      <c r="L6" s="1">
        <f t="shared" si="2"/>
        <v>0.95590994371482185</v>
      </c>
      <c r="M6" s="1">
        <f t="shared" si="3"/>
        <v>0.87992495309568486</v>
      </c>
      <c r="N6" s="1">
        <f t="shared" si="1"/>
        <v>0.81801125703564737</v>
      </c>
    </row>
    <row r="7" spans="1:14" x14ac:dyDescent="0.2">
      <c r="A7">
        <v>12</v>
      </c>
      <c r="B7">
        <v>120.8</v>
      </c>
      <c r="C7">
        <v>15.6</v>
      </c>
      <c r="D7">
        <v>115.3</v>
      </c>
      <c r="E7">
        <v>14.9</v>
      </c>
      <c r="F7">
        <v>103.6</v>
      </c>
      <c r="G7">
        <v>12.9</v>
      </c>
      <c r="H7">
        <v>97.1</v>
      </c>
      <c r="I7">
        <v>12</v>
      </c>
      <c r="J7" s="1">
        <f t="shared" si="0"/>
        <v>0.80536912751677847</v>
      </c>
      <c r="K7">
        <v>1</v>
      </c>
      <c r="L7" s="1">
        <f t="shared" si="2"/>
        <v>0.95447019867549665</v>
      </c>
      <c r="M7" s="1">
        <f t="shared" si="3"/>
        <v>0.85761589403973504</v>
      </c>
      <c r="N7" s="1">
        <f t="shared" si="1"/>
        <v>0.80380794701986757</v>
      </c>
    </row>
    <row r="8" spans="1:14" x14ac:dyDescent="0.2">
      <c r="A8">
        <v>14</v>
      </c>
      <c r="B8">
        <v>131.4</v>
      </c>
      <c r="C8">
        <v>17.3</v>
      </c>
      <c r="D8">
        <v>125.9</v>
      </c>
      <c r="E8">
        <v>16.5</v>
      </c>
      <c r="F8">
        <v>110.6</v>
      </c>
      <c r="G8">
        <v>13.5</v>
      </c>
      <c r="H8">
        <v>105.5</v>
      </c>
      <c r="I8">
        <v>13</v>
      </c>
      <c r="J8" s="1">
        <f t="shared" si="0"/>
        <v>0.78787878787878785</v>
      </c>
      <c r="K8">
        <v>1</v>
      </c>
      <c r="L8" s="1">
        <f t="shared" si="2"/>
        <v>0.95814307458143078</v>
      </c>
      <c r="M8" s="1">
        <f t="shared" si="3"/>
        <v>0.84170471841704708</v>
      </c>
      <c r="N8" s="1">
        <f t="shared" si="1"/>
        <v>0.80289193302891926</v>
      </c>
    </row>
    <row r="9" spans="1:14" x14ac:dyDescent="0.2">
      <c r="A9">
        <v>16</v>
      </c>
      <c r="B9">
        <v>144.6</v>
      </c>
      <c r="C9">
        <v>20.2</v>
      </c>
      <c r="D9">
        <v>139.4</v>
      </c>
      <c r="E9">
        <v>20.100000000000001</v>
      </c>
      <c r="F9">
        <v>120.4</v>
      </c>
      <c r="G9">
        <v>15.4</v>
      </c>
      <c r="H9">
        <v>115.6</v>
      </c>
      <c r="I9">
        <v>14.7</v>
      </c>
      <c r="J9" s="1">
        <f t="shared" si="0"/>
        <v>0.73134328358208944</v>
      </c>
      <c r="K9">
        <v>1</v>
      </c>
      <c r="L9" s="1">
        <f t="shared" si="2"/>
        <v>0.96403872752420483</v>
      </c>
      <c r="M9" s="1">
        <f t="shared" si="3"/>
        <v>0.83264177040110654</v>
      </c>
      <c r="N9" s="1">
        <f t="shared" si="1"/>
        <v>0.79944674965421858</v>
      </c>
    </row>
    <row r="10" spans="1:14" x14ac:dyDescent="0.2">
      <c r="A10">
        <v>18</v>
      </c>
      <c r="B10">
        <v>154.69999999999999</v>
      </c>
      <c r="C10">
        <v>21.7</v>
      </c>
      <c r="D10">
        <v>147.4</v>
      </c>
      <c r="E10">
        <v>21.6</v>
      </c>
      <c r="F10">
        <v>128.30000000000001</v>
      </c>
      <c r="G10">
        <v>16.2</v>
      </c>
      <c r="H10">
        <v>123</v>
      </c>
      <c r="I10">
        <v>15.8</v>
      </c>
      <c r="J10" s="1">
        <f t="shared" si="0"/>
        <v>0.73148148148148151</v>
      </c>
      <c r="K10">
        <v>1</v>
      </c>
      <c r="L10" s="1">
        <f t="shared" si="2"/>
        <v>0.95281189398836463</v>
      </c>
      <c r="M10" s="1">
        <f t="shared" si="3"/>
        <v>0.82934712346477069</v>
      </c>
      <c r="N10" s="1">
        <f t="shared" si="1"/>
        <v>0.79508726567550103</v>
      </c>
    </row>
    <row r="11" spans="1:14" x14ac:dyDescent="0.2">
      <c r="A11">
        <v>20</v>
      </c>
      <c r="B11">
        <v>166.7</v>
      </c>
      <c r="C11">
        <v>23.9</v>
      </c>
      <c r="D11">
        <v>160.69999999999999</v>
      </c>
      <c r="E11">
        <v>23.7</v>
      </c>
      <c r="F11">
        <v>134.69999999999999</v>
      </c>
      <c r="G11">
        <v>17.7</v>
      </c>
      <c r="H11">
        <v>130</v>
      </c>
      <c r="I11">
        <v>17</v>
      </c>
      <c r="J11" s="1">
        <f t="shared" si="0"/>
        <v>0.71729957805907174</v>
      </c>
      <c r="K11">
        <v>1</v>
      </c>
      <c r="L11" s="1">
        <f t="shared" si="2"/>
        <v>0.96400719856028794</v>
      </c>
      <c r="M11" s="1">
        <f t="shared" si="3"/>
        <v>0.80803839232153563</v>
      </c>
      <c r="N11" s="1">
        <f t="shared" si="1"/>
        <v>0.77984403119376133</v>
      </c>
    </row>
    <row r="12" spans="1:14" x14ac:dyDescent="0.2">
      <c r="A12">
        <v>22</v>
      </c>
      <c r="B12">
        <v>173.9</v>
      </c>
      <c r="C12">
        <v>25.8</v>
      </c>
      <c r="D12">
        <v>167.8</v>
      </c>
      <c r="E12">
        <v>24.9</v>
      </c>
      <c r="F12">
        <v>140</v>
      </c>
      <c r="G12">
        <v>18.100000000000001</v>
      </c>
      <c r="H12">
        <v>135.9</v>
      </c>
      <c r="I12">
        <v>17.8</v>
      </c>
      <c r="J12" s="1">
        <f t="shared" si="0"/>
        <v>0.71485943775100413</v>
      </c>
      <c r="K12">
        <v>1</v>
      </c>
      <c r="L12" s="1">
        <f t="shared" si="2"/>
        <v>0.96492236917768837</v>
      </c>
      <c r="M12" s="1">
        <f t="shared" si="3"/>
        <v>0.80506037952846465</v>
      </c>
      <c r="N12" s="1">
        <f t="shared" si="1"/>
        <v>0.78148361127084531</v>
      </c>
    </row>
    <row r="13" spans="1:14" x14ac:dyDescent="0.2">
      <c r="A13">
        <v>24</v>
      </c>
      <c r="B13">
        <v>186.4</v>
      </c>
      <c r="C13">
        <v>27.9</v>
      </c>
      <c r="D13">
        <v>180</v>
      </c>
      <c r="E13">
        <v>27.7</v>
      </c>
      <c r="F13">
        <v>147.80000000000001</v>
      </c>
      <c r="G13">
        <v>20</v>
      </c>
      <c r="H13">
        <v>143.30000000000001</v>
      </c>
      <c r="I13">
        <v>19.100000000000001</v>
      </c>
      <c r="J13" s="1">
        <f t="shared" si="0"/>
        <v>0.68953068592057765</v>
      </c>
      <c r="K13">
        <v>1</v>
      </c>
      <c r="L13" s="1">
        <f t="shared" si="2"/>
        <v>0.96566523605150212</v>
      </c>
      <c r="M13" s="1">
        <f t="shared" si="3"/>
        <v>0.79291845493562241</v>
      </c>
      <c r="N13" s="1">
        <f t="shared" si="1"/>
        <v>0.76877682403433478</v>
      </c>
    </row>
    <row r="14" spans="1:14" x14ac:dyDescent="0.2">
      <c r="A14">
        <v>26</v>
      </c>
      <c r="B14">
        <v>196.6</v>
      </c>
      <c r="C14">
        <v>58</v>
      </c>
      <c r="D14">
        <v>188.5</v>
      </c>
      <c r="E14">
        <v>57.6</v>
      </c>
      <c r="F14">
        <v>154.6</v>
      </c>
      <c r="G14">
        <v>40.1</v>
      </c>
      <c r="H14">
        <v>150</v>
      </c>
      <c r="I14">
        <v>38</v>
      </c>
      <c r="J14" s="1">
        <f t="shared" si="0"/>
        <v>0.65972222222222221</v>
      </c>
      <c r="K14">
        <v>1</v>
      </c>
      <c r="L14" s="1">
        <f t="shared" si="2"/>
        <v>0.95879959308240081</v>
      </c>
      <c r="M14" s="1">
        <f t="shared" si="3"/>
        <v>0.78636826042726349</v>
      </c>
      <c r="N14" s="1">
        <f t="shared" si="1"/>
        <v>0.76297049847405907</v>
      </c>
    </row>
    <row r="15" spans="1:14" x14ac:dyDescent="0.2">
      <c r="A15">
        <v>28</v>
      </c>
      <c r="B15">
        <v>206.8</v>
      </c>
      <c r="C15">
        <v>56.2</v>
      </c>
      <c r="D15">
        <v>199</v>
      </c>
      <c r="E15">
        <v>55.5</v>
      </c>
      <c r="F15">
        <v>161.4</v>
      </c>
      <c r="G15">
        <v>39.299999999999997</v>
      </c>
      <c r="H15">
        <v>156.80000000000001</v>
      </c>
      <c r="I15">
        <v>35.799999999999997</v>
      </c>
      <c r="J15" s="1">
        <f t="shared" si="0"/>
        <v>0.64504504504504501</v>
      </c>
      <c r="K15">
        <v>1</v>
      </c>
      <c r="L15" s="1">
        <f t="shared" si="2"/>
        <v>0.96228239845261121</v>
      </c>
      <c r="M15" s="1">
        <f t="shared" si="3"/>
        <v>0.78046421663442933</v>
      </c>
      <c r="N15" s="1">
        <f t="shared" si="1"/>
        <v>0.75822050290135401</v>
      </c>
    </row>
    <row r="16" spans="1:14" x14ac:dyDescent="0.2">
      <c r="A16">
        <v>30</v>
      </c>
      <c r="B16">
        <v>213.6</v>
      </c>
      <c r="C16">
        <v>40.5</v>
      </c>
      <c r="D16">
        <v>205</v>
      </c>
      <c r="E16">
        <v>39.6</v>
      </c>
      <c r="F16">
        <v>165.5</v>
      </c>
      <c r="G16">
        <v>27.7</v>
      </c>
      <c r="H16">
        <v>161.6</v>
      </c>
      <c r="I16">
        <v>26.2</v>
      </c>
      <c r="J16" s="1">
        <f t="shared" si="0"/>
        <v>0.66161616161616155</v>
      </c>
      <c r="K16">
        <v>1</v>
      </c>
      <c r="L16" s="1">
        <f t="shared" si="2"/>
        <v>0.95973782771535587</v>
      </c>
      <c r="M16" s="1">
        <f t="shared" si="3"/>
        <v>0.77481273408239704</v>
      </c>
      <c r="N16" s="1">
        <f t="shared" si="1"/>
        <v>0.75655430711610483</v>
      </c>
    </row>
    <row r="17" spans="1:14" x14ac:dyDescent="0.2">
      <c r="A17">
        <v>32</v>
      </c>
      <c r="B17">
        <v>227.9</v>
      </c>
      <c r="C17">
        <v>40.299999999999997</v>
      </c>
      <c r="D17">
        <v>217.2</v>
      </c>
      <c r="E17">
        <v>39</v>
      </c>
      <c r="F17">
        <v>173</v>
      </c>
      <c r="G17">
        <v>26.9</v>
      </c>
      <c r="H17">
        <v>169.3</v>
      </c>
      <c r="I17">
        <v>25.7</v>
      </c>
      <c r="J17" s="1">
        <f t="shared" si="0"/>
        <v>0.65897435897435896</v>
      </c>
      <c r="K17">
        <v>1</v>
      </c>
      <c r="L17" s="1">
        <f t="shared" si="2"/>
        <v>0.95304958315050459</v>
      </c>
      <c r="M17" s="1">
        <f t="shared" si="3"/>
        <v>0.75910487055726195</v>
      </c>
      <c r="N17" s="1">
        <f t="shared" si="1"/>
        <v>0.74286967968407203</v>
      </c>
    </row>
    <row r="18" spans="1:14" x14ac:dyDescent="0.2">
      <c r="A18">
        <v>34</v>
      </c>
      <c r="B18">
        <v>235.1</v>
      </c>
      <c r="C18">
        <v>46.1</v>
      </c>
      <c r="D18">
        <v>229.9</v>
      </c>
      <c r="E18">
        <v>45.2</v>
      </c>
      <c r="F18">
        <v>178.9</v>
      </c>
      <c r="G18">
        <v>30.6</v>
      </c>
      <c r="H18">
        <v>174.9</v>
      </c>
      <c r="I18">
        <v>28.9</v>
      </c>
      <c r="J18" s="1">
        <f t="shared" si="0"/>
        <v>0.63938053097345127</v>
      </c>
      <c r="K18">
        <v>1</v>
      </c>
      <c r="L18" s="1">
        <f t="shared" si="2"/>
        <v>0.9778817524457678</v>
      </c>
      <c r="M18" s="1">
        <f t="shared" si="3"/>
        <v>0.76095278604849004</v>
      </c>
      <c r="N18" s="1">
        <f t="shared" si="1"/>
        <v>0.7439387494683114</v>
      </c>
    </row>
    <row r="19" spans="1:14" x14ac:dyDescent="0.2">
      <c r="A19">
        <v>36</v>
      </c>
      <c r="B19">
        <v>245.4</v>
      </c>
      <c r="C19">
        <v>46.4</v>
      </c>
      <c r="D19">
        <v>237.7</v>
      </c>
      <c r="E19">
        <v>45.1</v>
      </c>
      <c r="F19">
        <v>185.6</v>
      </c>
      <c r="G19">
        <v>30.5</v>
      </c>
      <c r="H19">
        <v>181.7</v>
      </c>
      <c r="I19">
        <v>29</v>
      </c>
      <c r="J19" s="1">
        <f t="shared" si="0"/>
        <v>0.64301552106430149</v>
      </c>
      <c r="K19">
        <v>1</v>
      </c>
      <c r="L19" s="1">
        <f t="shared" si="2"/>
        <v>0.96862265688671545</v>
      </c>
      <c r="M19" s="1">
        <f t="shared" si="3"/>
        <v>0.75631621841890784</v>
      </c>
      <c r="N19" s="1">
        <f t="shared" si="1"/>
        <v>0.74042379788101054</v>
      </c>
    </row>
    <row r="20" spans="1:14" x14ac:dyDescent="0.2">
      <c r="A20">
        <v>38</v>
      </c>
      <c r="B20">
        <v>255.8</v>
      </c>
      <c r="C20">
        <v>49.9</v>
      </c>
      <c r="D20">
        <v>245.2</v>
      </c>
      <c r="E20">
        <v>48.5</v>
      </c>
      <c r="F20">
        <v>190.1</v>
      </c>
      <c r="G20">
        <v>31.8</v>
      </c>
      <c r="H20">
        <v>187</v>
      </c>
      <c r="I20">
        <v>31.4</v>
      </c>
      <c r="J20" s="1">
        <f t="shared" si="0"/>
        <v>0.64742268041237105</v>
      </c>
      <c r="K20">
        <v>1</v>
      </c>
      <c r="L20" s="1">
        <f t="shared" si="2"/>
        <v>0.95856137607505854</v>
      </c>
      <c r="M20" s="1">
        <f t="shared" si="3"/>
        <v>0.74315871774824072</v>
      </c>
      <c r="N20" s="1">
        <f t="shared" si="1"/>
        <v>0.73103987490226741</v>
      </c>
    </row>
    <row r="21" spans="1:14" x14ac:dyDescent="0.2">
      <c r="A21">
        <v>40</v>
      </c>
      <c r="B21">
        <v>266.3</v>
      </c>
      <c r="C21">
        <v>51.7</v>
      </c>
      <c r="D21">
        <v>255.5</v>
      </c>
      <c r="E21">
        <v>50.6</v>
      </c>
      <c r="F21">
        <v>197.2</v>
      </c>
      <c r="G21">
        <v>32.9</v>
      </c>
      <c r="H21">
        <v>193.6</v>
      </c>
      <c r="I21">
        <v>32.6</v>
      </c>
      <c r="J21" s="1">
        <f t="shared" si="0"/>
        <v>0.64426877470355737</v>
      </c>
      <c r="K21">
        <v>1</v>
      </c>
      <c r="L21" s="1">
        <f t="shared" si="2"/>
        <v>0.95944423582425831</v>
      </c>
      <c r="M21" s="1">
        <f t="shared" si="3"/>
        <v>0.74051821254224548</v>
      </c>
      <c r="N21" s="1">
        <f t="shared" si="1"/>
        <v>0.72699962448366495</v>
      </c>
    </row>
    <row r="22" spans="1:14" x14ac:dyDescent="0.2">
      <c r="A22">
        <v>60</v>
      </c>
      <c r="B22">
        <v>359.4</v>
      </c>
      <c r="C22">
        <v>95.9</v>
      </c>
      <c r="D22">
        <v>348.4</v>
      </c>
      <c r="E22">
        <v>94.6</v>
      </c>
      <c r="F22">
        <v>254.1</v>
      </c>
      <c r="G22">
        <v>58.6</v>
      </c>
      <c r="H22">
        <v>251.6</v>
      </c>
      <c r="I22">
        <v>57.1</v>
      </c>
      <c r="J22" s="1">
        <f t="shared" si="0"/>
        <v>0.60359408033826645</v>
      </c>
      <c r="K22">
        <v>1</v>
      </c>
      <c r="L22" s="1">
        <f t="shared" si="2"/>
        <v>0.96939343350027829</v>
      </c>
      <c r="M22" s="1">
        <f t="shared" si="3"/>
        <v>0.70701168614357268</v>
      </c>
      <c r="N22" s="1">
        <f t="shared" si="1"/>
        <v>0.70005564830272682</v>
      </c>
    </row>
    <row r="23" spans="1:14" x14ac:dyDescent="0.2">
      <c r="A23">
        <v>80</v>
      </c>
      <c r="B23">
        <v>450.1</v>
      </c>
      <c r="C23">
        <v>148.9</v>
      </c>
      <c r="D23">
        <v>437.3</v>
      </c>
      <c r="E23">
        <v>146.1</v>
      </c>
      <c r="F23">
        <v>308.7</v>
      </c>
      <c r="G23">
        <v>86.5</v>
      </c>
      <c r="H23">
        <v>306.2</v>
      </c>
      <c r="I23">
        <v>85.1</v>
      </c>
      <c r="J23" s="1">
        <f t="shared" si="0"/>
        <v>0.58247775496235454</v>
      </c>
      <c r="K23">
        <v>1</v>
      </c>
      <c r="L23" s="1">
        <f t="shared" si="2"/>
        <v>0.97156187513885806</v>
      </c>
      <c r="M23" s="1">
        <f t="shared" si="3"/>
        <v>0.68584758942457225</v>
      </c>
      <c r="N23" s="1">
        <f t="shared" si="1"/>
        <v>0.68029326816263047</v>
      </c>
    </row>
    <row r="24" spans="1:14" x14ac:dyDescent="0.2">
      <c r="A24">
        <v>100</v>
      </c>
      <c r="B24">
        <v>542.29999999999995</v>
      </c>
      <c r="C24">
        <v>218.3</v>
      </c>
      <c r="D24">
        <v>524.6</v>
      </c>
      <c r="E24">
        <v>212.4</v>
      </c>
      <c r="F24">
        <v>361.4</v>
      </c>
      <c r="G24">
        <v>123.6</v>
      </c>
      <c r="H24">
        <v>358.7</v>
      </c>
      <c r="I24">
        <v>122.5</v>
      </c>
      <c r="J24" s="1">
        <f t="shared" si="0"/>
        <v>0.57674199623352163</v>
      </c>
      <c r="K24">
        <v>1</v>
      </c>
      <c r="L24" s="1">
        <f t="shared" si="2"/>
        <v>0.96736123916651318</v>
      </c>
      <c r="M24" s="1">
        <f t="shared" si="3"/>
        <v>0.66642080029503969</v>
      </c>
      <c r="N24" s="1">
        <f t="shared" si="1"/>
        <v>0.66144200626959249</v>
      </c>
    </row>
    <row r="25" spans="1:14" x14ac:dyDescent="0.2">
      <c r="A25">
        <v>120</v>
      </c>
      <c r="B25">
        <v>630.79999999999995</v>
      </c>
      <c r="C25">
        <v>315.2</v>
      </c>
      <c r="D25">
        <v>612</v>
      </c>
      <c r="E25">
        <v>309.2</v>
      </c>
      <c r="F25">
        <v>413.7</v>
      </c>
      <c r="G25">
        <v>176.2</v>
      </c>
      <c r="H25">
        <v>408.7</v>
      </c>
      <c r="I25">
        <v>172.9</v>
      </c>
      <c r="J25" s="1">
        <f t="shared" si="0"/>
        <v>0.55918499353169471</v>
      </c>
      <c r="K25">
        <v>1</v>
      </c>
      <c r="L25" s="1">
        <f t="shared" si="2"/>
        <v>0.97019657577679141</v>
      </c>
      <c r="M25" s="1">
        <f t="shared" si="3"/>
        <v>0.65583386176284086</v>
      </c>
      <c r="N25" s="1">
        <f t="shared" si="1"/>
        <v>0.64790741915028538</v>
      </c>
    </row>
    <row r="26" spans="1:14" x14ac:dyDescent="0.2">
      <c r="A26">
        <v>140</v>
      </c>
      <c r="B26">
        <v>722.7</v>
      </c>
      <c r="C26">
        <v>426.7</v>
      </c>
      <c r="D26">
        <v>698.5</v>
      </c>
      <c r="E26">
        <v>413.7</v>
      </c>
      <c r="F26">
        <v>463</v>
      </c>
      <c r="G26">
        <v>228.5</v>
      </c>
      <c r="H26">
        <v>459.8</v>
      </c>
      <c r="I26">
        <v>225.4</v>
      </c>
      <c r="J26" s="1">
        <f t="shared" si="0"/>
        <v>0.54483925549915402</v>
      </c>
      <c r="K26">
        <v>1</v>
      </c>
      <c r="L26" s="1">
        <f t="shared" si="2"/>
        <v>0.96651445966514449</v>
      </c>
      <c r="M26" s="1">
        <f t="shared" si="3"/>
        <v>0.64065310640653106</v>
      </c>
      <c r="N26" s="1">
        <f t="shared" si="1"/>
        <v>0.63622526636225263</v>
      </c>
    </row>
    <row r="27" spans="1:14" x14ac:dyDescent="0.2">
      <c r="A27">
        <v>160</v>
      </c>
      <c r="B27">
        <v>804.3</v>
      </c>
      <c r="C27">
        <v>542.6</v>
      </c>
      <c r="D27">
        <v>784.9</v>
      </c>
      <c r="E27">
        <v>530.79999999999995</v>
      </c>
      <c r="F27">
        <v>510.8</v>
      </c>
      <c r="G27">
        <v>285.39999999999998</v>
      </c>
      <c r="H27">
        <v>508.7</v>
      </c>
      <c r="I27">
        <v>282</v>
      </c>
      <c r="J27" s="1">
        <f t="shared" si="0"/>
        <v>0.53127354935945748</v>
      </c>
      <c r="K27">
        <v>1</v>
      </c>
      <c r="L27" s="1">
        <f t="shared" si="2"/>
        <v>0.97587964689792372</v>
      </c>
      <c r="M27" s="1">
        <f t="shared" si="3"/>
        <v>0.6350864105433297</v>
      </c>
      <c r="N27" s="1">
        <f t="shared" si="1"/>
        <v>0.63247544448588833</v>
      </c>
    </row>
    <row r="28" spans="1:14" x14ac:dyDescent="0.2">
      <c r="A28">
        <v>180</v>
      </c>
      <c r="B28">
        <v>893.2</v>
      </c>
      <c r="C28">
        <v>582.5</v>
      </c>
      <c r="D28">
        <v>871.4</v>
      </c>
      <c r="E28">
        <v>572.5</v>
      </c>
      <c r="F28">
        <v>561.1</v>
      </c>
      <c r="G28">
        <v>301.60000000000002</v>
      </c>
      <c r="H28">
        <v>557.79999999999995</v>
      </c>
      <c r="I28">
        <v>298.2</v>
      </c>
      <c r="J28" s="1">
        <f t="shared" si="0"/>
        <v>0.52087336244541482</v>
      </c>
      <c r="K28">
        <v>1</v>
      </c>
      <c r="L28" s="1">
        <f t="shared" si="2"/>
        <v>0.97559337214509623</v>
      </c>
      <c r="M28" s="1">
        <f t="shared" si="3"/>
        <v>0.62819077474249885</v>
      </c>
      <c r="N28" s="1">
        <f t="shared" si="1"/>
        <v>0.62449619346171059</v>
      </c>
    </row>
    <row r="29" spans="1:14" x14ac:dyDescent="0.2">
      <c r="A29">
        <v>200</v>
      </c>
      <c r="B29">
        <v>979.1</v>
      </c>
      <c r="C29">
        <v>695.3</v>
      </c>
      <c r="D29">
        <v>956.9</v>
      </c>
      <c r="E29">
        <v>683.4</v>
      </c>
      <c r="F29">
        <v>606.29999999999995</v>
      </c>
      <c r="G29">
        <v>353</v>
      </c>
      <c r="H29">
        <v>604.70000000000005</v>
      </c>
      <c r="I29">
        <v>349.6</v>
      </c>
      <c r="J29" s="1">
        <f t="shared" si="0"/>
        <v>0.51155984781972497</v>
      </c>
      <c r="K29">
        <v>1</v>
      </c>
      <c r="L29" s="1">
        <f t="shared" si="2"/>
        <v>0.97732611582065154</v>
      </c>
      <c r="M29" s="1">
        <f t="shared" si="3"/>
        <v>0.6192421611684199</v>
      </c>
      <c r="N29" s="1">
        <f t="shared" si="1"/>
        <v>0.61760800735369215</v>
      </c>
    </row>
    <row r="30" spans="1:14" x14ac:dyDescent="0.2">
      <c r="A30">
        <v>300</v>
      </c>
      <c r="B30">
        <v>1405.6</v>
      </c>
      <c r="C30">
        <v>1544.3</v>
      </c>
      <c r="D30">
        <v>1365.9</v>
      </c>
      <c r="E30">
        <v>1514.5</v>
      </c>
      <c r="F30">
        <v>825.2</v>
      </c>
      <c r="G30">
        <v>701.6</v>
      </c>
      <c r="H30">
        <v>822.6</v>
      </c>
      <c r="I30">
        <v>695.8</v>
      </c>
      <c r="J30" s="1">
        <f t="shared" si="0"/>
        <v>0.4594255529877847</v>
      </c>
      <c r="K30">
        <v>1</v>
      </c>
      <c r="L30" s="1">
        <f t="shared" ref="L30:L46" si="4">D30/B30</f>
        <v>0.97175583380762676</v>
      </c>
      <c r="M30" s="1">
        <f t="shared" ref="M30:M46" si="5">F30/B30</f>
        <v>0.58708025042686407</v>
      </c>
      <c r="N30" s="1">
        <f t="shared" ref="N30:N46" si="6">H30/B30</f>
        <v>0.58523050654524766</v>
      </c>
    </row>
    <row r="31" spans="1:14" x14ac:dyDescent="0.2">
      <c r="A31">
        <v>400</v>
      </c>
      <c r="B31">
        <v>1804.5</v>
      </c>
      <c r="C31">
        <v>2758.6</v>
      </c>
      <c r="D31">
        <v>1763.4</v>
      </c>
      <c r="E31">
        <v>2718.1</v>
      </c>
      <c r="F31">
        <v>1029.4000000000001</v>
      </c>
      <c r="G31">
        <v>1148.3</v>
      </c>
      <c r="H31">
        <v>1027.3</v>
      </c>
      <c r="I31">
        <v>1145.5</v>
      </c>
      <c r="J31" s="1">
        <f t="shared" si="0"/>
        <v>0.4214340899893308</v>
      </c>
      <c r="K31">
        <v>1</v>
      </c>
      <c r="L31" s="1">
        <f t="shared" si="4"/>
        <v>0.9772236076475479</v>
      </c>
      <c r="M31" s="1">
        <f t="shared" si="5"/>
        <v>0.57046273205874209</v>
      </c>
      <c r="N31" s="1">
        <f t="shared" si="6"/>
        <v>0.56929897478525904</v>
      </c>
    </row>
    <row r="32" spans="1:14" x14ac:dyDescent="0.2">
      <c r="A32">
        <v>500</v>
      </c>
      <c r="B32">
        <v>2213.1999999999998</v>
      </c>
      <c r="C32">
        <v>4845</v>
      </c>
      <c r="D32">
        <v>2158.9</v>
      </c>
      <c r="E32">
        <v>4769</v>
      </c>
      <c r="F32">
        <v>1221.5</v>
      </c>
      <c r="G32">
        <v>1853.9</v>
      </c>
      <c r="H32">
        <v>1221.5</v>
      </c>
      <c r="I32">
        <v>1848.5</v>
      </c>
      <c r="J32" s="1">
        <f t="shared" si="0"/>
        <v>0.38760746487733277</v>
      </c>
      <c r="K32">
        <v>1</v>
      </c>
      <c r="L32" s="1">
        <f t="shared" si="4"/>
        <v>0.97546538948129413</v>
      </c>
      <c r="M32" s="1">
        <f t="shared" si="5"/>
        <v>0.55191577805891923</v>
      </c>
      <c r="N32" s="1">
        <f t="shared" si="6"/>
        <v>0.55191577805891923</v>
      </c>
    </row>
    <row r="33" spans="1:14" x14ac:dyDescent="0.2">
      <c r="A33">
        <v>600</v>
      </c>
      <c r="B33">
        <v>2617.8000000000002</v>
      </c>
      <c r="C33">
        <v>6405.5</v>
      </c>
      <c r="D33">
        <v>2552.8000000000002</v>
      </c>
      <c r="E33">
        <v>6263</v>
      </c>
      <c r="F33">
        <v>1408.1</v>
      </c>
      <c r="G33">
        <v>2243.6999999999998</v>
      </c>
      <c r="H33">
        <v>1410.6</v>
      </c>
      <c r="I33">
        <v>2245.4</v>
      </c>
      <c r="J33" s="1">
        <f t="shared" si="0"/>
        <v>0.35851828197349517</v>
      </c>
      <c r="K33">
        <v>1</v>
      </c>
      <c r="L33" s="1">
        <f t="shared" si="4"/>
        <v>0.97516999006799598</v>
      </c>
      <c r="M33" s="1">
        <f t="shared" si="5"/>
        <v>0.53789441515776604</v>
      </c>
      <c r="N33" s="1">
        <f t="shared" si="6"/>
        <v>0.53884941553976617</v>
      </c>
    </row>
    <row r="34" spans="1:14" x14ac:dyDescent="0.2">
      <c r="A34">
        <v>700</v>
      </c>
      <c r="B34">
        <v>3017.2</v>
      </c>
      <c r="C34">
        <v>8382.4</v>
      </c>
      <c r="D34">
        <v>2926</v>
      </c>
      <c r="E34">
        <v>8202.2999999999993</v>
      </c>
      <c r="F34">
        <v>1588.3</v>
      </c>
      <c r="G34">
        <v>2748</v>
      </c>
      <c r="H34">
        <v>1583.4</v>
      </c>
      <c r="I34">
        <v>2728</v>
      </c>
      <c r="J34" s="1">
        <f t="shared" si="0"/>
        <v>0.33258963949136222</v>
      </c>
      <c r="K34">
        <v>1</v>
      </c>
      <c r="L34" s="1">
        <f t="shared" si="4"/>
        <v>0.96977329974811088</v>
      </c>
      <c r="M34" s="1">
        <f t="shared" si="5"/>
        <v>0.52641521940872338</v>
      </c>
      <c r="N34" s="1">
        <f t="shared" si="6"/>
        <v>0.52479119713641798</v>
      </c>
    </row>
    <row r="35" spans="1:14" x14ac:dyDescent="0.2">
      <c r="A35">
        <v>800</v>
      </c>
      <c r="B35">
        <v>3397</v>
      </c>
      <c r="C35">
        <v>11887.8</v>
      </c>
      <c r="D35">
        <v>3300.7</v>
      </c>
      <c r="E35">
        <v>11632</v>
      </c>
      <c r="F35">
        <v>1751.6</v>
      </c>
      <c r="G35">
        <v>3619.6</v>
      </c>
      <c r="H35">
        <v>1753.1</v>
      </c>
      <c r="I35">
        <v>3628.8</v>
      </c>
      <c r="J35" s="1">
        <f t="shared" si="0"/>
        <v>0.31196698762035763</v>
      </c>
      <c r="K35">
        <v>1</v>
      </c>
      <c r="L35" s="1">
        <f t="shared" si="4"/>
        <v>0.97165145716808943</v>
      </c>
      <c r="M35" s="1">
        <f t="shared" si="5"/>
        <v>0.51563143950544599</v>
      </c>
      <c r="N35" s="1">
        <f t="shared" si="6"/>
        <v>0.51607300559317038</v>
      </c>
    </row>
    <row r="36" spans="1:14" x14ac:dyDescent="0.2">
      <c r="A36">
        <v>900</v>
      </c>
      <c r="B36">
        <v>3761.4</v>
      </c>
      <c r="C36">
        <v>41798.400000000001</v>
      </c>
      <c r="D36">
        <v>3661.7</v>
      </c>
      <c r="E36">
        <v>22834.9</v>
      </c>
      <c r="F36">
        <v>1913.4</v>
      </c>
      <c r="G36">
        <v>4894.2</v>
      </c>
      <c r="H36">
        <v>1909.3</v>
      </c>
      <c r="I36">
        <v>12924.4</v>
      </c>
      <c r="J36" s="1"/>
      <c r="K36">
        <v>1</v>
      </c>
      <c r="L36" s="1">
        <f t="shared" si="4"/>
        <v>0.9734939118413356</v>
      </c>
      <c r="M36" s="1">
        <f t="shared" si="5"/>
        <v>0.50869357154251083</v>
      </c>
      <c r="N36" s="1">
        <f t="shared" si="6"/>
        <v>0.50760355186898498</v>
      </c>
    </row>
    <row r="37" spans="1:14" x14ac:dyDescent="0.2">
      <c r="A37">
        <v>1000</v>
      </c>
      <c r="B37">
        <v>4137.8999999999996</v>
      </c>
      <c r="C37">
        <v>77858.2</v>
      </c>
      <c r="D37">
        <v>4023.6</v>
      </c>
      <c r="E37">
        <v>43146.7</v>
      </c>
      <c r="F37">
        <v>2071.6999999999998</v>
      </c>
      <c r="G37">
        <v>20447</v>
      </c>
      <c r="H37">
        <v>2066.8000000000002</v>
      </c>
      <c r="I37">
        <v>26066.3</v>
      </c>
      <c r="J37" s="1"/>
      <c r="K37">
        <v>1</v>
      </c>
      <c r="L37" s="1">
        <f t="shared" si="4"/>
        <v>0.97237729282969632</v>
      </c>
      <c r="M37" s="1">
        <f t="shared" si="5"/>
        <v>0.50066458831774574</v>
      </c>
      <c r="N37" s="1">
        <f t="shared" si="6"/>
        <v>0.49948041276976252</v>
      </c>
    </row>
    <row r="38" spans="1:14" x14ac:dyDescent="0.2">
      <c r="A38">
        <v>1100</v>
      </c>
      <c r="B38">
        <v>4500.8999999999996</v>
      </c>
      <c r="C38">
        <v>23497.5</v>
      </c>
      <c r="D38">
        <v>4382.7</v>
      </c>
      <c r="E38">
        <v>23123.1</v>
      </c>
      <c r="F38">
        <v>2220.6</v>
      </c>
      <c r="G38">
        <v>6020.8</v>
      </c>
      <c r="H38">
        <v>2218.6</v>
      </c>
      <c r="I38">
        <v>5984.7</v>
      </c>
      <c r="J38" s="1">
        <f t="shared" si="0"/>
        <v>0.25881910297494715</v>
      </c>
      <c r="K38">
        <v>1</v>
      </c>
      <c r="L38" s="1">
        <f t="shared" si="4"/>
        <v>0.97373858561621018</v>
      </c>
      <c r="M38" s="1">
        <f t="shared" si="5"/>
        <v>0.49336799306805307</v>
      </c>
      <c r="N38" s="1">
        <f t="shared" si="6"/>
        <v>0.49292363749472329</v>
      </c>
    </row>
    <row r="39" spans="1:14" x14ac:dyDescent="0.2">
      <c r="A39">
        <v>1200</v>
      </c>
      <c r="J39" s="1" t="e">
        <f t="shared" si="0"/>
        <v>#DIV/0!</v>
      </c>
      <c r="K39">
        <v>1</v>
      </c>
      <c r="L39" s="1" t="e">
        <f t="shared" si="4"/>
        <v>#DIV/0!</v>
      </c>
      <c r="M39" s="1" t="e">
        <f t="shared" si="5"/>
        <v>#DIV/0!</v>
      </c>
      <c r="N39" s="1" t="e">
        <f t="shared" si="6"/>
        <v>#DIV/0!</v>
      </c>
    </row>
    <row r="40" spans="1:14" x14ac:dyDescent="0.2">
      <c r="A40">
        <v>1300</v>
      </c>
      <c r="J40" s="1" t="e">
        <f t="shared" si="0"/>
        <v>#DIV/0!</v>
      </c>
      <c r="K40">
        <v>1</v>
      </c>
      <c r="L40" s="1" t="e">
        <f t="shared" si="4"/>
        <v>#DIV/0!</v>
      </c>
      <c r="M40" s="1" t="e">
        <f t="shared" si="5"/>
        <v>#DIV/0!</v>
      </c>
      <c r="N40" s="1" t="e">
        <f t="shared" si="6"/>
        <v>#DIV/0!</v>
      </c>
    </row>
    <row r="41" spans="1:14" x14ac:dyDescent="0.2">
      <c r="A41">
        <v>1400</v>
      </c>
      <c r="J41" s="1" t="e">
        <f t="shared" si="0"/>
        <v>#DIV/0!</v>
      </c>
      <c r="K41">
        <v>1</v>
      </c>
      <c r="L41" s="1" t="e">
        <f t="shared" si="4"/>
        <v>#DIV/0!</v>
      </c>
      <c r="M41" s="1" t="e">
        <f t="shared" si="5"/>
        <v>#DIV/0!</v>
      </c>
      <c r="N41" s="1" t="e">
        <f t="shared" si="6"/>
        <v>#DIV/0!</v>
      </c>
    </row>
    <row r="42" spans="1:14" x14ac:dyDescent="0.2">
      <c r="A42">
        <v>1500</v>
      </c>
      <c r="J42" s="1" t="e">
        <f t="shared" si="0"/>
        <v>#DIV/0!</v>
      </c>
      <c r="K42">
        <v>1</v>
      </c>
      <c r="L42" s="1" t="e">
        <f t="shared" si="4"/>
        <v>#DIV/0!</v>
      </c>
      <c r="M42" s="1" t="e">
        <f t="shared" si="5"/>
        <v>#DIV/0!</v>
      </c>
      <c r="N42" s="1" t="e">
        <f t="shared" si="6"/>
        <v>#DIV/0!</v>
      </c>
    </row>
    <row r="43" spans="1:14" x14ac:dyDescent="0.2">
      <c r="A43">
        <v>1600</v>
      </c>
      <c r="J43" s="1" t="e">
        <f t="shared" si="0"/>
        <v>#DIV/0!</v>
      </c>
      <c r="K43">
        <v>1</v>
      </c>
      <c r="L43" s="1" t="e">
        <f t="shared" si="4"/>
        <v>#DIV/0!</v>
      </c>
      <c r="M43" s="1" t="e">
        <f t="shared" si="5"/>
        <v>#DIV/0!</v>
      </c>
      <c r="N43" s="1" t="e">
        <f t="shared" si="6"/>
        <v>#DIV/0!</v>
      </c>
    </row>
    <row r="44" spans="1:14" x14ac:dyDescent="0.2">
      <c r="A44">
        <v>1700</v>
      </c>
      <c r="J44" s="1" t="e">
        <f t="shared" si="0"/>
        <v>#DIV/0!</v>
      </c>
      <c r="K44">
        <v>1</v>
      </c>
      <c r="L44" s="1" t="e">
        <f t="shared" si="4"/>
        <v>#DIV/0!</v>
      </c>
      <c r="M44" s="1" t="e">
        <f t="shared" si="5"/>
        <v>#DIV/0!</v>
      </c>
      <c r="N44" s="1" t="e">
        <f t="shared" si="6"/>
        <v>#DIV/0!</v>
      </c>
    </row>
    <row r="45" spans="1:14" x14ac:dyDescent="0.2">
      <c r="A45">
        <v>1800</v>
      </c>
      <c r="J45" s="1" t="e">
        <f t="shared" si="0"/>
        <v>#DIV/0!</v>
      </c>
      <c r="K45">
        <v>1</v>
      </c>
      <c r="L45" s="1" t="e">
        <f t="shared" si="4"/>
        <v>#DIV/0!</v>
      </c>
      <c r="M45" s="1" t="e">
        <f t="shared" si="5"/>
        <v>#DIV/0!</v>
      </c>
      <c r="N45" s="1" t="e">
        <f t="shared" si="6"/>
        <v>#DIV/0!</v>
      </c>
    </row>
    <row r="46" spans="1:14" x14ac:dyDescent="0.2">
      <c r="A46">
        <v>1900</v>
      </c>
      <c r="J46" s="1"/>
      <c r="K46">
        <v>1</v>
      </c>
      <c r="L46" s="1" t="e">
        <f t="shared" si="4"/>
        <v>#DIV/0!</v>
      </c>
      <c r="M46" s="1" t="e">
        <f t="shared" si="5"/>
        <v>#DIV/0!</v>
      </c>
      <c r="N46" s="1" t="e">
        <f t="shared" si="6"/>
        <v>#DIV/0!</v>
      </c>
    </row>
    <row r="47" spans="1:14" x14ac:dyDescent="0.2">
      <c r="L47" s="1"/>
      <c r="M47" s="1"/>
      <c r="N47" s="1"/>
    </row>
    <row r="48" spans="1:14" x14ac:dyDescent="0.2">
      <c r="L48" s="1"/>
      <c r="M48" s="1"/>
      <c r="N48" s="1"/>
    </row>
    <row r="49" spans="12:14" x14ac:dyDescent="0.2">
      <c r="L49" s="1"/>
      <c r="M49" s="1"/>
      <c r="N49" s="1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AF18-DC9C-354F-A209-AC7A16E07DBB}">
  <dimension ref="A1:N49"/>
  <sheetViews>
    <sheetView topLeftCell="A2" workbookViewId="0">
      <selection activeCell="I43" sqref="I43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17.399999999999999</v>
      </c>
      <c r="C2">
        <v>5.5</v>
      </c>
      <c r="D2">
        <v>14.5</v>
      </c>
      <c r="E2">
        <v>5.0999999999999996</v>
      </c>
      <c r="F2">
        <v>23.7</v>
      </c>
      <c r="G2">
        <v>7.3</v>
      </c>
      <c r="H2">
        <v>13.7</v>
      </c>
      <c r="I2">
        <v>6.6</v>
      </c>
      <c r="J2" s="1">
        <f t="shared" ref="J2:J45" si="0">I2/E2</f>
        <v>1.2941176470588236</v>
      </c>
      <c r="K2">
        <v>1</v>
      </c>
      <c r="L2" s="1">
        <f>D2/B2</f>
        <v>0.83333333333333337</v>
      </c>
      <c r="M2" s="1">
        <f>F2/B2</f>
        <v>1.3620689655172415</v>
      </c>
      <c r="N2" s="1">
        <f t="shared" ref="N2:N46" si="1">H2/B2</f>
        <v>0.78735632183908044</v>
      </c>
    </row>
    <row r="3" spans="1:14" x14ac:dyDescent="0.2">
      <c r="A3">
        <v>4</v>
      </c>
      <c r="B3">
        <v>33.799999999999997</v>
      </c>
      <c r="C3">
        <v>6.7</v>
      </c>
      <c r="D3">
        <v>32.6</v>
      </c>
      <c r="E3">
        <v>6.6</v>
      </c>
      <c r="F3">
        <v>37.6</v>
      </c>
      <c r="G3">
        <v>8</v>
      </c>
      <c r="H3">
        <v>28.9</v>
      </c>
      <c r="I3">
        <v>7</v>
      </c>
      <c r="J3" s="1">
        <f t="shared" si="0"/>
        <v>1.0606060606060606</v>
      </c>
      <c r="K3">
        <v>1</v>
      </c>
      <c r="L3" s="1">
        <f t="shared" ref="L3:L46" si="2">D3/B3</f>
        <v>0.96449704142011849</v>
      </c>
      <c r="M3" s="1">
        <f t="shared" ref="M3:M46" si="3">F3/B3</f>
        <v>1.1124260355029587</v>
      </c>
      <c r="N3" s="1">
        <f t="shared" si="1"/>
        <v>0.8550295857988166</v>
      </c>
    </row>
    <row r="4" spans="1:14" x14ac:dyDescent="0.2">
      <c r="A4">
        <v>6</v>
      </c>
      <c r="B4">
        <v>47.9</v>
      </c>
      <c r="C4">
        <v>9.5</v>
      </c>
      <c r="D4">
        <v>46.8</v>
      </c>
      <c r="E4">
        <v>9.1999999999999993</v>
      </c>
      <c r="F4">
        <v>47</v>
      </c>
      <c r="G4">
        <v>9.6</v>
      </c>
      <c r="H4">
        <v>42.2</v>
      </c>
      <c r="I4">
        <v>9.3000000000000007</v>
      </c>
      <c r="J4" s="1">
        <f t="shared" si="0"/>
        <v>1.0108695652173914</v>
      </c>
      <c r="K4">
        <v>1</v>
      </c>
      <c r="L4" s="1">
        <f t="shared" si="2"/>
        <v>0.97703549060542794</v>
      </c>
      <c r="M4" s="1">
        <f t="shared" si="3"/>
        <v>0.98121085594989566</v>
      </c>
      <c r="N4" s="1">
        <f t="shared" si="1"/>
        <v>0.8810020876826723</v>
      </c>
    </row>
    <row r="5" spans="1:14" x14ac:dyDescent="0.2">
      <c r="A5">
        <v>8</v>
      </c>
      <c r="B5">
        <v>57.7</v>
      </c>
      <c r="C5">
        <v>11.1</v>
      </c>
      <c r="D5">
        <v>57.7</v>
      </c>
      <c r="E5">
        <v>10.6</v>
      </c>
      <c r="F5">
        <v>57.1</v>
      </c>
      <c r="G5">
        <v>10.6</v>
      </c>
      <c r="H5">
        <v>52.5</v>
      </c>
      <c r="I5">
        <v>9.6</v>
      </c>
      <c r="J5" s="1">
        <f t="shared" si="0"/>
        <v>0.90566037735849059</v>
      </c>
      <c r="K5">
        <v>1</v>
      </c>
      <c r="L5" s="1">
        <f t="shared" si="2"/>
        <v>1</v>
      </c>
      <c r="M5" s="1">
        <f t="shared" si="3"/>
        <v>0.9896013864818024</v>
      </c>
      <c r="N5" s="1">
        <f t="shared" si="1"/>
        <v>0.90987868284228768</v>
      </c>
    </row>
    <row r="6" spans="1:14" x14ac:dyDescent="0.2">
      <c r="A6">
        <v>10</v>
      </c>
      <c r="B6">
        <v>65.099999999999994</v>
      </c>
      <c r="C6">
        <v>13.5</v>
      </c>
      <c r="D6">
        <v>65</v>
      </c>
      <c r="E6">
        <v>13.2</v>
      </c>
      <c r="F6">
        <v>62.7</v>
      </c>
      <c r="G6">
        <v>12</v>
      </c>
      <c r="H6">
        <v>59.5</v>
      </c>
      <c r="I6">
        <v>11.5</v>
      </c>
      <c r="J6" s="1">
        <f t="shared" si="0"/>
        <v>0.87121212121212122</v>
      </c>
      <c r="K6">
        <v>1</v>
      </c>
      <c r="L6" s="1">
        <f t="shared" si="2"/>
        <v>0.99846390168970822</v>
      </c>
      <c r="M6" s="1">
        <f t="shared" si="3"/>
        <v>0.96313364055299555</v>
      </c>
      <c r="N6" s="1">
        <f t="shared" si="1"/>
        <v>0.91397849462365599</v>
      </c>
    </row>
    <row r="7" spans="1:14" x14ac:dyDescent="0.2">
      <c r="A7">
        <v>12</v>
      </c>
      <c r="B7">
        <v>71.599999999999994</v>
      </c>
      <c r="C7">
        <v>15.6</v>
      </c>
      <c r="D7">
        <v>72.5</v>
      </c>
      <c r="E7">
        <v>14.9</v>
      </c>
      <c r="F7">
        <v>69.400000000000006</v>
      </c>
      <c r="G7">
        <v>12.9</v>
      </c>
      <c r="H7">
        <v>65.8</v>
      </c>
      <c r="I7">
        <v>12</v>
      </c>
      <c r="J7" s="1">
        <f t="shared" si="0"/>
        <v>0.80536912751677847</v>
      </c>
      <c r="K7">
        <v>1</v>
      </c>
      <c r="L7" s="1">
        <f t="shared" si="2"/>
        <v>1.0125698324022347</v>
      </c>
      <c r="M7" s="1">
        <f t="shared" si="3"/>
        <v>0.96927374301675995</v>
      </c>
      <c r="N7" s="1">
        <f t="shared" si="1"/>
        <v>0.91899441340782129</v>
      </c>
    </row>
    <row r="8" spans="1:14" x14ac:dyDescent="0.2">
      <c r="A8">
        <v>14</v>
      </c>
      <c r="B8">
        <v>77.7</v>
      </c>
      <c r="C8">
        <v>17.3</v>
      </c>
      <c r="D8">
        <v>78</v>
      </c>
      <c r="E8">
        <v>16.5</v>
      </c>
      <c r="F8">
        <v>73.400000000000006</v>
      </c>
      <c r="G8">
        <v>13.5</v>
      </c>
      <c r="H8">
        <v>70.599999999999994</v>
      </c>
      <c r="I8">
        <v>13</v>
      </c>
      <c r="J8" s="1">
        <f t="shared" si="0"/>
        <v>0.78787878787878785</v>
      </c>
      <c r="K8">
        <v>1</v>
      </c>
      <c r="L8" s="1">
        <f t="shared" si="2"/>
        <v>1.0038610038610039</v>
      </c>
      <c r="M8" s="1">
        <f t="shared" si="3"/>
        <v>0.94465894465894473</v>
      </c>
      <c r="N8" s="1">
        <f t="shared" si="1"/>
        <v>0.90862290862290851</v>
      </c>
    </row>
    <row r="9" spans="1:14" x14ac:dyDescent="0.2">
      <c r="A9">
        <v>16</v>
      </c>
      <c r="B9">
        <v>84.2</v>
      </c>
      <c r="C9">
        <v>20.2</v>
      </c>
      <c r="D9">
        <v>85.9</v>
      </c>
      <c r="E9">
        <v>20.100000000000001</v>
      </c>
      <c r="F9">
        <v>80.7</v>
      </c>
      <c r="G9">
        <v>15.4</v>
      </c>
      <c r="H9">
        <v>77.3</v>
      </c>
      <c r="I9">
        <v>14.7</v>
      </c>
      <c r="J9" s="1">
        <f t="shared" si="0"/>
        <v>0.73134328358208944</v>
      </c>
      <c r="K9">
        <v>1</v>
      </c>
      <c r="L9" s="1">
        <f t="shared" si="2"/>
        <v>1.0201900237529691</v>
      </c>
      <c r="M9" s="1">
        <f t="shared" si="3"/>
        <v>0.95843230403800472</v>
      </c>
      <c r="N9" s="1">
        <f t="shared" si="1"/>
        <v>0.91805225653206646</v>
      </c>
    </row>
    <row r="10" spans="1:14" x14ac:dyDescent="0.2">
      <c r="A10">
        <v>18</v>
      </c>
      <c r="B10">
        <v>89.9</v>
      </c>
      <c r="C10">
        <v>21.7</v>
      </c>
      <c r="D10">
        <v>90.8</v>
      </c>
      <c r="E10">
        <v>21.6</v>
      </c>
      <c r="F10">
        <v>85.6</v>
      </c>
      <c r="G10">
        <v>16.2</v>
      </c>
      <c r="H10">
        <v>81.400000000000006</v>
      </c>
      <c r="I10">
        <v>15.8</v>
      </c>
      <c r="J10" s="1">
        <f t="shared" si="0"/>
        <v>0.73148148148148151</v>
      </c>
      <c r="K10">
        <v>1</v>
      </c>
      <c r="L10" s="1">
        <f t="shared" si="2"/>
        <v>1.0100111234705227</v>
      </c>
      <c r="M10" s="1">
        <f t="shared" si="3"/>
        <v>0.95216907675194651</v>
      </c>
      <c r="N10" s="1">
        <f t="shared" si="1"/>
        <v>0.90545050055617349</v>
      </c>
    </row>
    <row r="11" spans="1:14" x14ac:dyDescent="0.2">
      <c r="A11">
        <v>20</v>
      </c>
      <c r="B11">
        <v>96.1</v>
      </c>
      <c r="C11">
        <v>23.9</v>
      </c>
      <c r="D11">
        <v>96.6</v>
      </c>
      <c r="E11">
        <v>23.7</v>
      </c>
      <c r="F11">
        <v>89.8</v>
      </c>
      <c r="G11">
        <v>17.7</v>
      </c>
      <c r="H11">
        <v>86.8</v>
      </c>
      <c r="I11">
        <v>17</v>
      </c>
      <c r="J11" s="1">
        <f t="shared" si="0"/>
        <v>0.71729957805907174</v>
      </c>
      <c r="K11">
        <v>1</v>
      </c>
      <c r="L11" s="1">
        <f t="shared" si="2"/>
        <v>1.0052029136316336</v>
      </c>
      <c r="M11" s="1">
        <f t="shared" si="3"/>
        <v>0.9344432882414152</v>
      </c>
      <c r="N11" s="1">
        <f t="shared" si="1"/>
        <v>0.90322580645161288</v>
      </c>
    </row>
    <row r="12" spans="1:14" x14ac:dyDescent="0.2">
      <c r="A12">
        <v>22</v>
      </c>
      <c r="B12">
        <v>100.2</v>
      </c>
      <c r="C12">
        <v>25.8</v>
      </c>
      <c r="D12">
        <v>101.5</v>
      </c>
      <c r="E12">
        <v>24.9</v>
      </c>
      <c r="F12">
        <v>92.8</v>
      </c>
      <c r="G12">
        <v>18.100000000000001</v>
      </c>
      <c r="H12">
        <v>91.1</v>
      </c>
      <c r="I12">
        <v>17.8</v>
      </c>
      <c r="J12" s="1">
        <f t="shared" si="0"/>
        <v>0.71485943775100413</v>
      </c>
      <c r="K12">
        <v>1</v>
      </c>
      <c r="L12" s="1">
        <f t="shared" si="2"/>
        <v>1.0129740518962076</v>
      </c>
      <c r="M12" s="1">
        <f t="shared" si="3"/>
        <v>0.9261477045908183</v>
      </c>
      <c r="N12" s="1">
        <f t="shared" si="1"/>
        <v>0.90918163672654684</v>
      </c>
    </row>
    <row r="13" spans="1:14" x14ac:dyDescent="0.2">
      <c r="A13">
        <v>24</v>
      </c>
      <c r="B13">
        <v>107.1</v>
      </c>
      <c r="C13">
        <v>27.9</v>
      </c>
      <c r="D13">
        <v>108.3</v>
      </c>
      <c r="E13">
        <v>27.7</v>
      </c>
      <c r="F13">
        <v>98.9</v>
      </c>
      <c r="G13">
        <v>20</v>
      </c>
      <c r="H13">
        <v>96.1</v>
      </c>
      <c r="I13">
        <v>19.100000000000001</v>
      </c>
      <c r="J13" s="1">
        <f t="shared" si="0"/>
        <v>0.68953068592057765</v>
      </c>
      <c r="K13">
        <v>1</v>
      </c>
      <c r="L13" s="1">
        <f t="shared" si="2"/>
        <v>1.011204481792717</v>
      </c>
      <c r="M13" s="1">
        <f t="shared" si="3"/>
        <v>0.92343604108309996</v>
      </c>
      <c r="N13" s="1">
        <f t="shared" si="1"/>
        <v>0.89729225023342674</v>
      </c>
    </row>
    <row r="14" spans="1:14" x14ac:dyDescent="0.2">
      <c r="A14">
        <v>26</v>
      </c>
      <c r="B14">
        <v>112.4</v>
      </c>
      <c r="C14">
        <v>58</v>
      </c>
      <c r="D14">
        <v>112.9</v>
      </c>
      <c r="E14">
        <v>57.6</v>
      </c>
      <c r="F14">
        <v>103.8</v>
      </c>
      <c r="G14">
        <v>40.1</v>
      </c>
      <c r="H14">
        <v>100.5</v>
      </c>
      <c r="I14">
        <v>38</v>
      </c>
      <c r="J14" s="1">
        <f t="shared" si="0"/>
        <v>0.65972222222222221</v>
      </c>
      <c r="K14">
        <v>1</v>
      </c>
      <c r="L14" s="1">
        <f t="shared" si="2"/>
        <v>1.0044483985765125</v>
      </c>
      <c r="M14" s="1">
        <f t="shared" si="3"/>
        <v>0.92348754448398573</v>
      </c>
      <c r="N14" s="1">
        <f t="shared" si="1"/>
        <v>0.89412811387900348</v>
      </c>
    </row>
    <row r="15" spans="1:14" x14ac:dyDescent="0.2">
      <c r="A15">
        <v>28</v>
      </c>
      <c r="B15">
        <v>118.6</v>
      </c>
      <c r="C15">
        <v>56.2</v>
      </c>
      <c r="D15">
        <v>118.9</v>
      </c>
      <c r="E15">
        <v>55.5</v>
      </c>
      <c r="F15">
        <v>108.5</v>
      </c>
      <c r="G15">
        <v>39.299999999999997</v>
      </c>
      <c r="H15">
        <v>105.4</v>
      </c>
      <c r="I15">
        <v>35.799999999999997</v>
      </c>
      <c r="J15" s="1">
        <f t="shared" si="0"/>
        <v>0.64504504504504501</v>
      </c>
      <c r="K15">
        <v>1</v>
      </c>
      <c r="L15" s="1">
        <f t="shared" si="2"/>
        <v>1.0025295109612142</v>
      </c>
      <c r="M15" s="1">
        <f t="shared" si="3"/>
        <v>0.91483979763912315</v>
      </c>
      <c r="N15" s="1">
        <f t="shared" si="1"/>
        <v>0.88870151770657679</v>
      </c>
    </row>
    <row r="16" spans="1:14" x14ac:dyDescent="0.2">
      <c r="A16">
        <v>30</v>
      </c>
      <c r="B16">
        <v>122.1</v>
      </c>
      <c r="C16">
        <v>40.5</v>
      </c>
      <c r="D16">
        <v>122.2</v>
      </c>
      <c r="E16">
        <v>39.6</v>
      </c>
      <c r="F16">
        <v>111.8</v>
      </c>
      <c r="G16">
        <v>27.7</v>
      </c>
      <c r="H16">
        <v>109.1</v>
      </c>
      <c r="I16">
        <v>26.2</v>
      </c>
      <c r="J16" s="1">
        <f t="shared" si="0"/>
        <v>0.66161616161616155</v>
      </c>
      <c r="K16">
        <v>1</v>
      </c>
      <c r="L16" s="1">
        <f t="shared" si="2"/>
        <v>1.000819000819001</v>
      </c>
      <c r="M16" s="1">
        <f t="shared" si="3"/>
        <v>0.91564291564291567</v>
      </c>
      <c r="N16" s="1">
        <f t="shared" si="1"/>
        <v>0.89352989352989354</v>
      </c>
    </row>
    <row r="17" spans="1:14" x14ac:dyDescent="0.2">
      <c r="A17">
        <v>32</v>
      </c>
      <c r="B17">
        <v>129.30000000000001</v>
      </c>
      <c r="C17">
        <v>40.299999999999997</v>
      </c>
      <c r="D17">
        <v>129.19999999999999</v>
      </c>
      <c r="E17">
        <v>39</v>
      </c>
      <c r="F17">
        <v>117.1</v>
      </c>
      <c r="G17">
        <v>26.9</v>
      </c>
      <c r="H17">
        <v>114.4</v>
      </c>
      <c r="I17">
        <v>25.7</v>
      </c>
      <c r="J17" s="1">
        <f t="shared" si="0"/>
        <v>0.65897435897435896</v>
      </c>
      <c r="K17">
        <v>1</v>
      </c>
      <c r="L17" s="1">
        <f t="shared" si="2"/>
        <v>0.9992266047950501</v>
      </c>
      <c r="M17" s="1">
        <f t="shared" si="3"/>
        <v>0.90564578499613291</v>
      </c>
      <c r="N17" s="1">
        <f t="shared" si="1"/>
        <v>0.88476411446249026</v>
      </c>
    </row>
    <row r="18" spans="1:14" x14ac:dyDescent="0.2">
      <c r="A18">
        <v>34</v>
      </c>
      <c r="B18">
        <v>134</v>
      </c>
      <c r="C18">
        <v>46.1</v>
      </c>
      <c r="D18">
        <v>135.5</v>
      </c>
      <c r="E18">
        <v>45.2</v>
      </c>
      <c r="F18">
        <v>120.8</v>
      </c>
      <c r="G18">
        <v>30.6</v>
      </c>
      <c r="H18">
        <v>118</v>
      </c>
      <c r="I18">
        <v>28.9</v>
      </c>
      <c r="J18" s="1">
        <f t="shared" si="0"/>
        <v>0.63938053097345127</v>
      </c>
      <c r="K18">
        <v>1</v>
      </c>
      <c r="L18" s="1">
        <f t="shared" si="2"/>
        <v>1.0111940298507462</v>
      </c>
      <c r="M18" s="1">
        <f t="shared" si="3"/>
        <v>0.90149253731343282</v>
      </c>
      <c r="N18" s="1">
        <f t="shared" si="1"/>
        <v>0.88059701492537312</v>
      </c>
    </row>
    <row r="19" spans="1:14" x14ac:dyDescent="0.2">
      <c r="A19">
        <v>36</v>
      </c>
      <c r="B19">
        <v>139.80000000000001</v>
      </c>
      <c r="C19">
        <v>46.4</v>
      </c>
      <c r="D19">
        <v>139.80000000000001</v>
      </c>
      <c r="E19">
        <v>45.1</v>
      </c>
      <c r="F19">
        <v>125.5</v>
      </c>
      <c r="G19">
        <v>30.5</v>
      </c>
      <c r="H19">
        <v>123.2</v>
      </c>
      <c r="I19">
        <v>29</v>
      </c>
      <c r="J19" s="1">
        <f t="shared" si="0"/>
        <v>0.64301552106430149</v>
      </c>
      <c r="K19">
        <v>1</v>
      </c>
      <c r="L19" s="1">
        <f t="shared" si="2"/>
        <v>1</v>
      </c>
      <c r="M19" s="1">
        <f t="shared" si="3"/>
        <v>0.8977110157367667</v>
      </c>
      <c r="N19" s="1">
        <f t="shared" si="1"/>
        <v>0.88125894134477822</v>
      </c>
    </row>
    <row r="20" spans="1:14" x14ac:dyDescent="0.2">
      <c r="A20">
        <v>38</v>
      </c>
      <c r="B20">
        <v>144</v>
      </c>
      <c r="C20">
        <v>49.9</v>
      </c>
      <c r="D20">
        <v>145.19999999999999</v>
      </c>
      <c r="E20">
        <v>48.5</v>
      </c>
      <c r="F20">
        <v>129</v>
      </c>
      <c r="G20">
        <v>31.8</v>
      </c>
      <c r="H20">
        <v>126.8</v>
      </c>
      <c r="I20">
        <v>31.4</v>
      </c>
      <c r="J20" s="1">
        <f t="shared" si="0"/>
        <v>0.64742268041237105</v>
      </c>
      <c r="K20">
        <v>1</v>
      </c>
      <c r="L20" s="1">
        <f t="shared" si="2"/>
        <v>1.0083333333333333</v>
      </c>
      <c r="M20" s="1">
        <f t="shared" si="3"/>
        <v>0.89583333333333337</v>
      </c>
      <c r="N20" s="1">
        <f t="shared" si="1"/>
        <v>0.88055555555555554</v>
      </c>
    </row>
    <row r="21" spans="1:14" x14ac:dyDescent="0.2">
      <c r="A21">
        <v>40</v>
      </c>
      <c r="B21">
        <v>149.80000000000001</v>
      </c>
      <c r="C21">
        <v>51.7</v>
      </c>
      <c r="D21">
        <v>151.1</v>
      </c>
      <c r="E21">
        <v>50.6</v>
      </c>
      <c r="F21">
        <v>134.19999999999999</v>
      </c>
      <c r="G21">
        <v>32.9</v>
      </c>
      <c r="H21">
        <v>131.9</v>
      </c>
      <c r="I21">
        <v>32.6</v>
      </c>
      <c r="J21" s="1">
        <f t="shared" si="0"/>
        <v>0.64426877470355737</v>
      </c>
      <c r="K21">
        <v>1</v>
      </c>
      <c r="L21" s="1">
        <f t="shared" si="2"/>
        <v>1.0086782376502001</v>
      </c>
      <c r="M21" s="1">
        <f t="shared" si="3"/>
        <v>0.89586114819759666</v>
      </c>
      <c r="N21" s="1">
        <f t="shared" si="1"/>
        <v>0.88050734312416556</v>
      </c>
    </row>
    <row r="22" spans="1:14" x14ac:dyDescent="0.2">
      <c r="A22">
        <v>60</v>
      </c>
      <c r="B22">
        <v>203.2</v>
      </c>
      <c r="C22">
        <v>95.9</v>
      </c>
      <c r="D22">
        <v>204.7</v>
      </c>
      <c r="E22">
        <v>94.6</v>
      </c>
      <c r="F22">
        <v>175.6</v>
      </c>
      <c r="G22">
        <v>58.6</v>
      </c>
      <c r="H22">
        <v>173.5</v>
      </c>
      <c r="I22">
        <v>57.1</v>
      </c>
      <c r="J22" s="1">
        <f t="shared" si="0"/>
        <v>0.60359408033826645</v>
      </c>
      <c r="K22">
        <v>1</v>
      </c>
      <c r="L22" s="1">
        <f t="shared" si="2"/>
        <v>1.0073818897637796</v>
      </c>
      <c r="M22" s="1">
        <f t="shared" si="3"/>
        <v>0.86417322834645671</v>
      </c>
      <c r="N22" s="1">
        <f t="shared" si="1"/>
        <v>0.85383858267716539</v>
      </c>
    </row>
    <row r="23" spans="1:14" x14ac:dyDescent="0.2">
      <c r="A23">
        <v>80</v>
      </c>
      <c r="B23">
        <v>255.2</v>
      </c>
      <c r="C23">
        <v>148.9</v>
      </c>
      <c r="D23">
        <v>256.89999999999998</v>
      </c>
      <c r="E23">
        <v>146.1</v>
      </c>
      <c r="F23">
        <v>215.6</v>
      </c>
      <c r="G23">
        <v>86.5</v>
      </c>
      <c r="H23">
        <v>214.4</v>
      </c>
      <c r="I23">
        <v>85.1</v>
      </c>
      <c r="J23" s="1">
        <f t="shared" si="0"/>
        <v>0.58247775496235454</v>
      </c>
      <c r="K23">
        <v>1</v>
      </c>
      <c r="L23" s="1">
        <f t="shared" si="2"/>
        <v>1.0066614420062696</v>
      </c>
      <c r="M23" s="1">
        <f t="shared" si="3"/>
        <v>0.84482758620689657</v>
      </c>
      <c r="N23" s="1">
        <f t="shared" si="1"/>
        <v>0.84012539184952983</v>
      </c>
    </row>
    <row r="24" spans="1:14" x14ac:dyDescent="0.2">
      <c r="A24">
        <v>100</v>
      </c>
      <c r="B24">
        <v>304.89999999999998</v>
      </c>
      <c r="C24">
        <v>218.3</v>
      </c>
      <c r="D24">
        <v>310.39999999999998</v>
      </c>
      <c r="E24">
        <v>212.4</v>
      </c>
      <c r="F24">
        <v>255.3</v>
      </c>
      <c r="G24">
        <v>123.6</v>
      </c>
      <c r="H24">
        <v>252</v>
      </c>
      <c r="I24">
        <v>122.5</v>
      </c>
      <c r="J24" s="1">
        <f t="shared" si="0"/>
        <v>0.57674199623352163</v>
      </c>
      <c r="K24">
        <v>1</v>
      </c>
      <c r="L24" s="1">
        <f t="shared" si="2"/>
        <v>1.0180387012135126</v>
      </c>
      <c r="M24" s="1">
        <f t="shared" si="3"/>
        <v>0.83732371269268624</v>
      </c>
      <c r="N24" s="1">
        <f t="shared" si="1"/>
        <v>0.82650049196457864</v>
      </c>
    </row>
    <row r="25" spans="1:14" x14ac:dyDescent="0.2">
      <c r="A25">
        <v>120</v>
      </c>
      <c r="B25">
        <v>358.8</v>
      </c>
      <c r="C25">
        <v>315.2</v>
      </c>
      <c r="D25">
        <v>362.8</v>
      </c>
      <c r="E25">
        <v>309.2</v>
      </c>
      <c r="F25">
        <v>292.7</v>
      </c>
      <c r="G25">
        <v>176.2</v>
      </c>
      <c r="H25">
        <v>290.5</v>
      </c>
      <c r="I25">
        <v>172.9</v>
      </c>
      <c r="J25" s="1">
        <f t="shared" si="0"/>
        <v>0.55918499353169471</v>
      </c>
      <c r="K25">
        <v>1</v>
      </c>
      <c r="L25" s="1">
        <f t="shared" si="2"/>
        <v>1.0111482720178373</v>
      </c>
      <c r="M25" s="1">
        <f t="shared" si="3"/>
        <v>0.81577480490523968</v>
      </c>
      <c r="N25" s="1">
        <f t="shared" si="1"/>
        <v>0.80964325529542913</v>
      </c>
    </row>
    <row r="26" spans="1:14" x14ac:dyDescent="0.2">
      <c r="A26">
        <v>140</v>
      </c>
      <c r="B26">
        <v>411</v>
      </c>
      <c r="C26">
        <v>426.7</v>
      </c>
      <c r="D26">
        <v>413.5</v>
      </c>
      <c r="E26">
        <v>413.7</v>
      </c>
      <c r="F26">
        <v>330.9</v>
      </c>
      <c r="G26">
        <v>228.5</v>
      </c>
      <c r="H26">
        <v>328.3</v>
      </c>
      <c r="I26">
        <v>225.4</v>
      </c>
      <c r="J26" s="1">
        <f t="shared" si="0"/>
        <v>0.54483925549915402</v>
      </c>
      <c r="K26">
        <v>1</v>
      </c>
      <c r="L26" s="1">
        <f t="shared" si="2"/>
        <v>1.0060827250608273</v>
      </c>
      <c r="M26" s="1">
        <f t="shared" si="3"/>
        <v>0.80510948905109481</v>
      </c>
      <c r="N26" s="1">
        <f t="shared" si="1"/>
        <v>0.79878345498783454</v>
      </c>
    </row>
    <row r="27" spans="1:14" x14ac:dyDescent="0.2">
      <c r="A27">
        <v>160</v>
      </c>
      <c r="B27">
        <v>462.8</v>
      </c>
      <c r="C27">
        <v>542.6</v>
      </c>
      <c r="D27">
        <v>464.8</v>
      </c>
      <c r="E27">
        <v>530.79999999999995</v>
      </c>
      <c r="F27">
        <v>366.4</v>
      </c>
      <c r="G27">
        <v>285.39999999999998</v>
      </c>
      <c r="H27">
        <v>364.7</v>
      </c>
      <c r="I27">
        <v>282</v>
      </c>
      <c r="J27" s="1">
        <f t="shared" si="0"/>
        <v>0.53127354935945748</v>
      </c>
      <c r="K27">
        <v>1</v>
      </c>
      <c r="L27" s="1">
        <f t="shared" si="2"/>
        <v>1.0043215211754537</v>
      </c>
      <c r="M27" s="1">
        <f t="shared" si="3"/>
        <v>0.79170267934312877</v>
      </c>
      <c r="N27" s="1">
        <f t="shared" si="1"/>
        <v>0.788029386343993</v>
      </c>
    </row>
    <row r="28" spans="1:14" x14ac:dyDescent="0.2">
      <c r="A28">
        <v>180</v>
      </c>
      <c r="B28">
        <v>510.4</v>
      </c>
      <c r="C28">
        <v>582.5</v>
      </c>
      <c r="D28">
        <v>517.1</v>
      </c>
      <c r="E28">
        <v>572.5</v>
      </c>
      <c r="F28">
        <v>403.9</v>
      </c>
      <c r="G28">
        <v>301.60000000000002</v>
      </c>
      <c r="H28">
        <v>400.9</v>
      </c>
      <c r="I28">
        <v>298.2</v>
      </c>
      <c r="J28" s="1">
        <f t="shared" si="0"/>
        <v>0.52087336244541482</v>
      </c>
      <c r="K28">
        <v>1</v>
      </c>
      <c r="L28" s="1">
        <f t="shared" si="2"/>
        <v>1.0131269592476491</v>
      </c>
      <c r="M28" s="1">
        <f t="shared" si="3"/>
        <v>0.7913401253918495</v>
      </c>
      <c r="N28" s="1">
        <f t="shared" si="1"/>
        <v>0.78546238244514111</v>
      </c>
    </row>
    <row r="29" spans="1:14" x14ac:dyDescent="0.2">
      <c r="A29">
        <v>200</v>
      </c>
      <c r="B29">
        <v>561.5</v>
      </c>
      <c r="C29">
        <v>695.3</v>
      </c>
      <c r="D29">
        <v>568.70000000000005</v>
      </c>
      <c r="E29">
        <v>683.4</v>
      </c>
      <c r="F29">
        <v>438.5</v>
      </c>
      <c r="G29">
        <v>353</v>
      </c>
      <c r="H29">
        <v>437.6</v>
      </c>
      <c r="I29">
        <v>349.6</v>
      </c>
      <c r="J29" s="1">
        <f t="shared" si="0"/>
        <v>0.51155984781972497</v>
      </c>
      <c r="K29">
        <v>1</v>
      </c>
      <c r="L29" s="1">
        <f t="shared" si="2"/>
        <v>1.0128227960819236</v>
      </c>
      <c r="M29" s="1">
        <f t="shared" si="3"/>
        <v>0.78094390026714156</v>
      </c>
      <c r="N29" s="1">
        <f t="shared" si="1"/>
        <v>0.77934105075690119</v>
      </c>
    </row>
    <row r="30" spans="1:14" x14ac:dyDescent="0.2">
      <c r="A30">
        <v>300</v>
      </c>
      <c r="B30">
        <v>813</v>
      </c>
      <c r="C30">
        <v>1544.3</v>
      </c>
      <c r="D30">
        <v>821</v>
      </c>
      <c r="E30">
        <v>1514.5</v>
      </c>
      <c r="F30">
        <v>606</v>
      </c>
      <c r="G30">
        <v>701.6</v>
      </c>
      <c r="H30">
        <v>605.1</v>
      </c>
      <c r="I30">
        <v>695.8</v>
      </c>
      <c r="J30" s="1">
        <f t="shared" si="0"/>
        <v>0.4594255529877847</v>
      </c>
      <c r="K30">
        <v>1</v>
      </c>
      <c r="L30" s="1">
        <f t="shared" si="2"/>
        <v>1.0098400984009841</v>
      </c>
      <c r="M30" s="1">
        <f t="shared" si="3"/>
        <v>0.74538745387453875</v>
      </c>
      <c r="N30" s="1">
        <f t="shared" si="1"/>
        <v>0.74428044280442807</v>
      </c>
    </row>
    <row r="31" spans="1:14" x14ac:dyDescent="0.2">
      <c r="A31">
        <v>400</v>
      </c>
      <c r="B31">
        <v>1057.7</v>
      </c>
      <c r="C31">
        <v>2758.6</v>
      </c>
      <c r="D31">
        <v>1062.0999999999999</v>
      </c>
      <c r="E31">
        <v>2718.1</v>
      </c>
      <c r="F31">
        <v>762.5</v>
      </c>
      <c r="G31">
        <v>1148.3</v>
      </c>
      <c r="H31">
        <v>761.1</v>
      </c>
      <c r="I31">
        <v>1145.5</v>
      </c>
      <c r="J31" s="1">
        <f t="shared" si="0"/>
        <v>0.4214340899893308</v>
      </c>
      <c r="K31">
        <v>1</v>
      </c>
      <c r="L31" s="1">
        <f t="shared" si="2"/>
        <v>1.0041599697456745</v>
      </c>
      <c r="M31" s="1">
        <f t="shared" si="3"/>
        <v>0.72090384797201468</v>
      </c>
      <c r="N31" s="1">
        <f t="shared" si="1"/>
        <v>0.71958022123475462</v>
      </c>
    </row>
    <row r="32" spans="1:14" x14ac:dyDescent="0.2">
      <c r="A32">
        <v>500</v>
      </c>
      <c r="B32">
        <v>1300.5999999999999</v>
      </c>
      <c r="C32">
        <v>4845</v>
      </c>
      <c r="D32">
        <v>1306.8</v>
      </c>
      <c r="E32">
        <v>4769</v>
      </c>
      <c r="F32">
        <v>912.8</v>
      </c>
      <c r="G32">
        <v>1853.9</v>
      </c>
      <c r="H32">
        <v>911.7</v>
      </c>
      <c r="I32">
        <v>1848.5</v>
      </c>
      <c r="J32" s="1">
        <f t="shared" si="0"/>
        <v>0.38760746487733277</v>
      </c>
      <c r="K32">
        <v>1</v>
      </c>
      <c r="L32" s="1">
        <f t="shared" si="2"/>
        <v>1.004767030601261</v>
      </c>
      <c r="M32" s="1">
        <f t="shared" si="3"/>
        <v>0.70182992465016147</v>
      </c>
      <c r="N32" s="1">
        <f t="shared" si="1"/>
        <v>0.7009841611563894</v>
      </c>
    </row>
    <row r="33" spans="1:14" x14ac:dyDescent="0.2">
      <c r="A33">
        <v>600</v>
      </c>
      <c r="B33">
        <v>1540.9</v>
      </c>
      <c r="C33">
        <v>6405.5</v>
      </c>
      <c r="D33">
        <v>1553.4</v>
      </c>
      <c r="E33">
        <v>6263</v>
      </c>
      <c r="F33">
        <v>1057.4000000000001</v>
      </c>
      <c r="G33">
        <v>2243.6999999999998</v>
      </c>
      <c r="H33">
        <v>1059.2</v>
      </c>
      <c r="I33">
        <v>2245.4</v>
      </c>
      <c r="J33" s="1">
        <f t="shared" si="0"/>
        <v>0.35851828197349517</v>
      </c>
      <c r="K33">
        <v>1</v>
      </c>
      <c r="L33" s="1">
        <f t="shared" si="2"/>
        <v>1.0081121422545265</v>
      </c>
      <c r="M33" s="1">
        <f t="shared" si="3"/>
        <v>0.68622233759491214</v>
      </c>
      <c r="N33" s="1">
        <f t="shared" si="1"/>
        <v>0.68739048607956388</v>
      </c>
    </row>
    <row r="34" spans="1:14" x14ac:dyDescent="0.2">
      <c r="A34">
        <v>700</v>
      </c>
      <c r="B34">
        <v>1782.9</v>
      </c>
      <c r="C34">
        <v>8382.4</v>
      </c>
      <c r="D34">
        <v>1790.3</v>
      </c>
      <c r="E34">
        <v>8202.2999999999993</v>
      </c>
      <c r="F34">
        <v>1197.0999999999999</v>
      </c>
      <c r="G34">
        <v>2748</v>
      </c>
      <c r="H34">
        <v>1194</v>
      </c>
      <c r="I34">
        <v>2728</v>
      </c>
      <c r="J34" s="1">
        <f t="shared" si="0"/>
        <v>0.33258963949136222</v>
      </c>
      <c r="K34">
        <v>1</v>
      </c>
      <c r="L34" s="1">
        <f t="shared" si="2"/>
        <v>1.0041505412530147</v>
      </c>
      <c r="M34" s="1">
        <f t="shared" si="3"/>
        <v>0.67143418026810242</v>
      </c>
      <c r="N34" s="1">
        <f t="shared" si="1"/>
        <v>0.66969544001346115</v>
      </c>
    </row>
    <row r="35" spans="1:14" x14ac:dyDescent="0.2">
      <c r="A35">
        <v>800</v>
      </c>
      <c r="B35">
        <v>2017.7</v>
      </c>
      <c r="C35">
        <v>11887.8</v>
      </c>
      <c r="D35">
        <v>2031.8</v>
      </c>
      <c r="E35">
        <v>11632</v>
      </c>
      <c r="F35">
        <v>1327</v>
      </c>
      <c r="G35">
        <v>3619.6</v>
      </c>
      <c r="H35">
        <v>1327.6</v>
      </c>
      <c r="I35">
        <v>3628.8</v>
      </c>
      <c r="J35" s="1">
        <f t="shared" si="0"/>
        <v>0.31196698762035763</v>
      </c>
      <c r="K35">
        <v>1</v>
      </c>
      <c r="L35" s="1">
        <f t="shared" si="2"/>
        <v>1.0069881548297566</v>
      </c>
      <c r="M35" s="1">
        <f t="shared" si="3"/>
        <v>0.65767953610546659</v>
      </c>
      <c r="N35" s="1">
        <f t="shared" si="1"/>
        <v>0.65797690439609446</v>
      </c>
    </row>
    <row r="36" spans="1:14" x14ac:dyDescent="0.2">
      <c r="A36">
        <v>900</v>
      </c>
      <c r="B36">
        <v>2233.6999999999998</v>
      </c>
      <c r="C36">
        <v>41798.400000000001</v>
      </c>
      <c r="D36">
        <v>2257</v>
      </c>
      <c r="E36">
        <v>22834.9</v>
      </c>
      <c r="F36">
        <v>1453</v>
      </c>
      <c r="G36">
        <v>4894.2</v>
      </c>
      <c r="H36">
        <v>1449.5</v>
      </c>
      <c r="I36">
        <v>12924.4</v>
      </c>
      <c r="J36" s="1"/>
      <c r="K36">
        <v>1</v>
      </c>
      <c r="L36" s="1">
        <f t="shared" si="2"/>
        <v>1.010431123248422</v>
      </c>
      <c r="M36" s="1">
        <f t="shared" si="3"/>
        <v>0.65049021802390661</v>
      </c>
      <c r="N36" s="1">
        <f t="shared" si="1"/>
        <v>0.64892331109817791</v>
      </c>
    </row>
    <row r="37" spans="1:14" x14ac:dyDescent="0.2">
      <c r="A37">
        <v>1000</v>
      </c>
      <c r="B37">
        <v>2461.1</v>
      </c>
      <c r="C37">
        <v>77858.2</v>
      </c>
      <c r="D37">
        <v>2479.4</v>
      </c>
      <c r="E37">
        <v>43146.7</v>
      </c>
      <c r="F37">
        <v>1577.9</v>
      </c>
      <c r="G37">
        <v>20447</v>
      </c>
      <c r="H37">
        <v>1571.6</v>
      </c>
      <c r="I37">
        <v>26066.3</v>
      </c>
      <c r="J37" s="1"/>
      <c r="K37">
        <v>1</v>
      </c>
      <c r="L37" s="1">
        <f t="shared" si="2"/>
        <v>1.0074356994839706</v>
      </c>
      <c r="M37" s="1">
        <f t="shared" si="3"/>
        <v>0.64113607736378053</v>
      </c>
      <c r="N37" s="1">
        <f t="shared" si="1"/>
        <v>0.63857624639388888</v>
      </c>
    </row>
    <row r="38" spans="1:14" x14ac:dyDescent="0.2">
      <c r="A38">
        <v>1100</v>
      </c>
      <c r="B38">
        <v>2693.3</v>
      </c>
      <c r="C38">
        <v>23497.5</v>
      </c>
      <c r="D38">
        <v>2718</v>
      </c>
      <c r="E38">
        <v>23123.1</v>
      </c>
      <c r="F38">
        <v>1692.1</v>
      </c>
      <c r="G38">
        <v>6020.8</v>
      </c>
      <c r="H38">
        <v>1691.8</v>
      </c>
      <c r="I38">
        <v>5984.7</v>
      </c>
      <c r="J38" s="1">
        <f t="shared" si="0"/>
        <v>0.25881910297494715</v>
      </c>
      <c r="K38">
        <v>1</v>
      </c>
      <c r="L38" s="1">
        <f t="shared" si="2"/>
        <v>1.0091709055805145</v>
      </c>
      <c r="M38" s="1">
        <f t="shared" si="3"/>
        <v>0.62826272602383681</v>
      </c>
      <c r="N38" s="1">
        <f t="shared" si="1"/>
        <v>0.6281513385066646</v>
      </c>
    </row>
    <row r="39" spans="1:14" x14ac:dyDescent="0.2">
      <c r="A39">
        <v>1200</v>
      </c>
      <c r="J39" s="1" t="e">
        <f t="shared" si="0"/>
        <v>#DIV/0!</v>
      </c>
      <c r="K39">
        <v>1</v>
      </c>
      <c r="L39" s="1" t="e">
        <f t="shared" si="2"/>
        <v>#DIV/0!</v>
      </c>
      <c r="M39" s="1" t="e">
        <f t="shared" si="3"/>
        <v>#DIV/0!</v>
      </c>
      <c r="N39" s="1" t="e">
        <f t="shared" si="1"/>
        <v>#DIV/0!</v>
      </c>
    </row>
    <row r="40" spans="1:14" x14ac:dyDescent="0.2">
      <c r="A40">
        <v>1300</v>
      </c>
      <c r="J40" s="1" t="e">
        <f t="shared" si="0"/>
        <v>#DIV/0!</v>
      </c>
      <c r="K40">
        <v>1</v>
      </c>
      <c r="L40" s="1" t="e">
        <f t="shared" si="2"/>
        <v>#DIV/0!</v>
      </c>
      <c r="M40" s="1" t="e">
        <f t="shared" si="3"/>
        <v>#DIV/0!</v>
      </c>
      <c r="N40" s="1" t="e">
        <f t="shared" si="1"/>
        <v>#DIV/0!</v>
      </c>
    </row>
    <row r="41" spans="1:14" x14ac:dyDescent="0.2">
      <c r="A41">
        <v>1400</v>
      </c>
      <c r="J41" s="1" t="e">
        <f t="shared" si="0"/>
        <v>#DIV/0!</v>
      </c>
      <c r="K41">
        <v>1</v>
      </c>
      <c r="L41" s="1" t="e">
        <f t="shared" si="2"/>
        <v>#DIV/0!</v>
      </c>
      <c r="M41" s="1" t="e">
        <f t="shared" si="3"/>
        <v>#DIV/0!</v>
      </c>
      <c r="N41" s="1" t="e">
        <f t="shared" si="1"/>
        <v>#DIV/0!</v>
      </c>
    </row>
    <row r="42" spans="1:14" x14ac:dyDescent="0.2">
      <c r="A42">
        <v>1500</v>
      </c>
      <c r="J42" s="1" t="e">
        <f t="shared" si="0"/>
        <v>#DIV/0!</v>
      </c>
      <c r="K42">
        <v>1</v>
      </c>
      <c r="L42" s="1" t="e">
        <f t="shared" si="2"/>
        <v>#DIV/0!</v>
      </c>
      <c r="M42" s="1" t="e">
        <f t="shared" si="3"/>
        <v>#DIV/0!</v>
      </c>
      <c r="N42" s="1" t="e">
        <f t="shared" si="1"/>
        <v>#DIV/0!</v>
      </c>
    </row>
    <row r="43" spans="1:14" x14ac:dyDescent="0.2">
      <c r="A43">
        <v>1600</v>
      </c>
      <c r="J43" s="1" t="e">
        <f t="shared" si="0"/>
        <v>#DIV/0!</v>
      </c>
      <c r="K43">
        <v>1</v>
      </c>
      <c r="L43" s="1" t="e">
        <f t="shared" si="2"/>
        <v>#DIV/0!</v>
      </c>
      <c r="M43" s="1" t="e">
        <f t="shared" si="3"/>
        <v>#DIV/0!</v>
      </c>
      <c r="N43" s="1" t="e">
        <f t="shared" si="1"/>
        <v>#DIV/0!</v>
      </c>
    </row>
    <row r="44" spans="1:14" x14ac:dyDescent="0.2">
      <c r="A44">
        <v>1700</v>
      </c>
      <c r="J44" s="1" t="e">
        <f t="shared" si="0"/>
        <v>#DIV/0!</v>
      </c>
      <c r="K44">
        <v>1</v>
      </c>
      <c r="L44" s="1" t="e">
        <f t="shared" si="2"/>
        <v>#DIV/0!</v>
      </c>
      <c r="M44" s="1" t="e">
        <f t="shared" si="3"/>
        <v>#DIV/0!</v>
      </c>
      <c r="N44" s="1" t="e">
        <f t="shared" si="1"/>
        <v>#DIV/0!</v>
      </c>
    </row>
    <row r="45" spans="1:14" x14ac:dyDescent="0.2">
      <c r="A45">
        <v>1800</v>
      </c>
      <c r="J45" s="1" t="e">
        <f t="shared" si="0"/>
        <v>#DIV/0!</v>
      </c>
      <c r="K45">
        <v>1</v>
      </c>
      <c r="L45" s="1" t="e">
        <f t="shared" si="2"/>
        <v>#DIV/0!</v>
      </c>
      <c r="M45" s="1" t="e">
        <f t="shared" si="3"/>
        <v>#DIV/0!</v>
      </c>
      <c r="N45" s="1" t="e">
        <f t="shared" si="1"/>
        <v>#DIV/0!</v>
      </c>
    </row>
    <row r="46" spans="1:14" x14ac:dyDescent="0.2">
      <c r="A46">
        <v>1900</v>
      </c>
      <c r="J46" s="1"/>
      <c r="K46">
        <v>1</v>
      </c>
      <c r="L46" s="1" t="e">
        <f t="shared" si="2"/>
        <v>#DIV/0!</v>
      </c>
      <c r="M46" s="1" t="e">
        <f t="shared" si="3"/>
        <v>#DIV/0!</v>
      </c>
      <c r="N46" s="1" t="e">
        <f t="shared" si="1"/>
        <v>#DIV/0!</v>
      </c>
    </row>
    <row r="47" spans="1:14" x14ac:dyDescent="0.2">
      <c r="L47" s="1"/>
      <c r="M47" s="1"/>
      <c r="N47" s="1"/>
    </row>
    <row r="48" spans="1:14" x14ac:dyDescent="0.2">
      <c r="L48" s="1"/>
      <c r="M48" s="1"/>
      <c r="N48" s="1"/>
    </row>
    <row r="49" spans="12:14" x14ac:dyDescent="0.2">
      <c r="L49" s="1"/>
      <c r="M49" s="1"/>
      <c r="N49" s="1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43EF-53C1-7545-B053-1330DB975DE9}">
  <dimension ref="A1:N49"/>
  <sheetViews>
    <sheetView workbookViewId="0">
      <selection activeCell="J2" sqref="J2:J35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57.8</v>
      </c>
      <c r="C2">
        <v>12.8</v>
      </c>
      <c r="D2">
        <v>49.1</v>
      </c>
      <c r="E2">
        <v>13.2</v>
      </c>
      <c r="F2">
        <v>79.400000000000006</v>
      </c>
      <c r="G2">
        <v>11.7</v>
      </c>
      <c r="H2">
        <v>47.4</v>
      </c>
      <c r="I2">
        <v>10.4</v>
      </c>
      <c r="J2" s="1">
        <f t="shared" ref="J2:J45" si="0">I2/E2</f>
        <v>0.78787878787878796</v>
      </c>
      <c r="K2">
        <v>1</v>
      </c>
      <c r="L2" s="1">
        <f>D2/B2</f>
        <v>0.84948096885813151</v>
      </c>
      <c r="M2" s="1">
        <f>F2/B2</f>
        <v>1.3737024221453289</v>
      </c>
      <c r="N2" s="1">
        <f t="shared" ref="N2:N46" si="1">H2/B2</f>
        <v>0.82006920415224915</v>
      </c>
    </row>
    <row r="3" spans="1:14" x14ac:dyDescent="0.2">
      <c r="A3">
        <v>4</v>
      </c>
      <c r="B3">
        <v>133</v>
      </c>
      <c r="C3">
        <v>22</v>
      </c>
      <c r="D3">
        <v>121.8</v>
      </c>
      <c r="E3">
        <v>22.2</v>
      </c>
      <c r="F3">
        <v>152.5</v>
      </c>
      <c r="G3">
        <v>17.899999999999999</v>
      </c>
      <c r="H3">
        <v>108.4</v>
      </c>
      <c r="I3">
        <v>16.8</v>
      </c>
      <c r="J3" s="1">
        <f t="shared" si="0"/>
        <v>0.7567567567567568</v>
      </c>
      <c r="K3">
        <v>1</v>
      </c>
      <c r="L3" s="1">
        <f t="shared" ref="L3:L46" si="2">D3/B3</f>
        <v>0.91578947368421049</v>
      </c>
      <c r="M3" s="1">
        <f t="shared" ref="M3:M46" si="3">F3/B3</f>
        <v>1.1466165413533835</v>
      </c>
      <c r="N3" s="1">
        <f t="shared" si="1"/>
        <v>0.81503759398496245</v>
      </c>
    </row>
    <row r="4" spans="1:14" x14ac:dyDescent="0.2">
      <c r="A4">
        <v>6</v>
      </c>
      <c r="B4">
        <v>201.1</v>
      </c>
      <c r="C4">
        <v>24.7</v>
      </c>
      <c r="D4">
        <v>191.7</v>
      </c>
      <c r="E4">
        <v>24.2</v>
      </c>
      <c r="F4">
        <v>207.4</v>
      </c>
      <c r="G4">
        <v>17.7</v>
      </c>
      <c r="H4">
        <v>171.7</v>
      </c>
      <c r="I4">
        <v>15.6</v>
      </c>
      <c r="J4" s="1">
        <f t="shared" si="0"/>
        <v>0.64462809917355368</v>
      </c>
      <c r="K4">
        <v>1</v>
      </c>
      <c r="L4" s="1">
        <f t="shared" si="2"/>
        <v>0.95325708602685233</v>
      </c>
      <c r="M4" s="1">
        <f t="shared" si="3"/>
        <v>1.0313276976628543</v>
      </c>
      <c r="N4" s="1">
        <f t="shared" si="1"/>
        <v>0.85380407757334653</v>
      </c>
    </row>
    <row r="5" spans="1:14" x14ac:dyDescent="0.2">
      <c r="A5">
        <v>8</v>
      </c>
      <c r="B5">
        <v>266.2</v>
      </c>
      <c r="C5">
        <v>31.8</v>
      </c>
      <c r="D5">
        <v>250.7</v>
      </c>
      <c r="E5">
        <v>31.2</v>
      </c>
      <c r="F5">
        <v>255.7</v>
      </c>
      <c r="G5">
        <v>20.5</v>
      </c>
      <c r="H5">
        <v>228.7</v>
      </c>
      <c r="I5">
        <v>19</v>
      </c>
      <c r="J5" s="1">
        <f t="shared" si="0"/>
        <v>0.60897435897435903</v>
      </c>
      <c r="K5">
        <v>1</v>
      </c>
      <c r="L5" s="1">
        <f t="shared" si="2"/>
        <v>0.94177310293012773</v>
      </c>
      <c r="M5" s="1">
        <f t="shared" si="3"/>
        <v>0.96055597295266715</v>
      </c>
      <c r="N5" s="1">
        <f t="shared" si="1"/>
        <v>0.85912847483095411</v>
      </c>
    </row>
    <row r="6" spans="1:14" x14ac:dyDescent="0.2">
      <c r="A6">
        <v>10</v>
      </c>
      <c r="B6">
        <v>307.8</v>
      </c>
      <c r="C6">
        <v>36.1</v>
      </c>
      <c r="D6">
        <v>290.10000000000002</v>
      </c>
      <c r="E6">
        <v>36.1</v>
      </c>
      <c r="F6">
        <v>293.7</v>
      </c>
      <c r="G6">
        <v>23.1</v>
      </c>
      <c r="H6">
        <v>263.60000000000002</v>
      </c>
      <c r="I6">
        <v>20.399999999999999</v>
      </c>
      <c r="J6" s="1">
        <f t="shared" si="0"/>
        <v>0.56509695290858719</v>
      </c>
      <c r="K6">
        <v>1</v>
      </c>
      <c r="L6" s="1">
        <f t="shared" si="2"/>
        <v>0.94249512670565305</v>
      </c>
      <c r="M6" s="1">
        <f t="shared" si="3"/>
        <v>0.95419103313840148</v>
      </c>
      <c r="N6" s="1">
        <f t="shared" si="1"/>
        <v>0.8564002599090319</v>
      </c>
    </row>
    <row r="7" spans="1:14" x14ac:dyDescent="0.2">
      <c r="A7">
        <v>12</v>
      </c>
      <c r="B7">
        <v>341.8</v>
      </c>
      <c r="C7">
        <v>41.9</v>
      </c>
      <c r="D7">
        <v>325.3</v>
      </c>
      <c r="E7">
        <v>41.4</v>
      </c>
      <c r="F7">
        <v>321.10000000000002</v>
      </c>
      <c r="G7">
        <v>25.5</v>
      </c>
      <c r="H7">
        <v>299.8</v>
      </c>
      <c r="I7">
        <v>23.1</v>
      </c>
      <c r="J7" s="1">
        <f t="shared" si="0"/>
        <v>0.55797101449275366</v>
      </c>
      <c r="K7">
        <v>1</v>
      </c>
      <c r="L7" s="1">
        <f t="shared" si="2"/>
        <v>0.95172615564657692</v>
      </c>
      <c r="M7" s="1">
        <f t="shared" si="3"/>
        <v>0.93943826799297836</v>
      </c>
      <c r="N7" s="1">
        <f t="shared" si="1"/>
        <v>0.87712112346401405</v>
      </c>
    </row>
    <row r="8" spans="1:14" x14ac:dyDescent="0.2">
      <c r="A8">
        <v>14</v>
      </c>
      <c r="B8">
        <v>370.6</v>
      </c>
      <c r="C8">
        <v>48.9</v>
      </c>
      <c r="D8">
        <v>354.7</v>
      </c>
      <c r="E8">
        <v>48.3</v>
      </c>
      <c r="F8">
        <v>344</v>
      </c>
      <c r="G8">
        <v>27.7</v>
      </c>
      <c r="H8">
        <v>322.2</v>
      </c>
      <c r="I8">
        <v>26.8</v>
      </c>
      <c r="J8" s="1">
        <f t="shared" si="0"/>
        <v>0.55486542443064191</v>
      </c>
      <c r="K8">
        <v>1</v>
      </c>
      <c r="L8" s="1">
        <f t="shared" si="2"/>
        <v>0.95709660010793296</v>
      </c>
      <c r="M8" s="1">
        <f t="shared" si="3"/>
        <v>0.92822450080949803</v>
      </c>
      <c r="N8" s="1">
        <f t="shared" si="1"/>
        <v>0.86940097139773331</v>
      </c>
    </row>
    <row r="9" spans="1:14" x14ac:dyDescent="0.2">
      <c r="A9">
        <v>16</v>
      </c>
      <c r="B9">
        <v>396.3</v>
      </c>
      <c r="C9">
        <v>54.1</v>
      </c>
      <c r="D9">
        <v>384.3</v>
      </c>
      <c r="E9">
        <v>53.8</v>
      </c>
      <c r="F9">
        <v>365.6</v>
      </c>
      <c r="G9">
        <v>30.6</v>
      </c>
      <c r="H9">
        <v>351.8</v>
      </c>
      <c r="I9">
        <v>28.3</v>
      </c>
      <c r="J9" s="1">
        <f t="shared" si="0"/>
        <v>0.52602230483271384</v>
      </c>
      <c r="K9">
        <v>1</v>
      </c>
      <c r="L9" s="1">
        <f t="shared" si="2"/>
        <v>0.9697199091597275</v>
      </c>
      <c r="M9" s="1">
        <f t="shared" si="3"/>
        <v>0.92253343426696954</v>
      </c>
      <c r="N9" s="1">
        <f t="shared" si="1"/>
        <v>0.88771132980065603</v>
      </c>
    </row>
    <row r="10" spans="1:14" x14ac:dyDescent="0.2">
      <c r="A10">
        <v>18</v>
      </c>
      <c r="B10">
        <v>421.2</v>
      </c>
      <c r="C10">
        <v>59.7</v>
      </c>
      <c r="D10">
        <v>405.3</v>
      </c>
      <c r="E10">
        <v>59.1</v>
      </c>
      <c r="F10">
        <v>387.6</v>
      </c>
      <c r="G10">
        <v>33.9</v>
      </c>
      <c r="H10">
        <v>370.1</v>
      </c>
      <c r="I10">
        <v>30.5</v>
      </c>
      <c r="J10" s="1">
        <f t="shared" si="0"/>
        <v>0.5160744500846024</v>
      </c>
      <c r="K10">
        <v>1</v>
      </c>
      <c r="L10" s="1">
        <f t="shared" si="2"/>
        <v>0.96225071225071235</v>
      </c>
      <c r="M10" s="1">
        <f t="shared" si="3"/>
        <v>0.92022792022792033</v>
      </c>
      <c r="N10" s="1">
        <f t="shared" si="1"/>
        <v>0.87867996201329546</v>
      </c>
    </row>
    <row r="11" spans="1:14" x14ac:dyDescent="0.2">
      <c r="A11">
        <v>20</v>
      </c>
      <c r="B11">
        <v>445.2</v>
      </c>
      <c r="C11">
        <v>67</v>
      </c>
      <c r="D11">
        <v>430.8</v>
      </c>
      <c r="E11">
        <v>66.400000000000006</v>
      </c>
      <c r="F11">
        <v>406.6</v>
      </c>
      <c r="G11">
        <v>36.6</v>
      </c>
      <c r="H11">
        <v>393</v>
      </c>
      <c r="I11">
        <v>36</v>
      </c>
      <c r="J11" s="1">
        <f t="shared" si="0"/>
        <v>0.54216867469879515</v>
      </c>
      <c r="K11">
        <v>1</v>
      </c>
      <c r="L11" s="1">
        <f t="shared" si="2"/>
        <v>0.96765498652291115</v>
      </c>
      <c r="M11" s="1">
        <f t="shared" si="3"/>
        <v>0.91329739442947</v>
      </c>
      <c r="N11" s="1">
        <f t="shared" si="1"/>
        <v>0.88274932614555257</v>
      </c>
    </row>
    <row r="12" spans="1:14" x14ac:dyDescent="0.2">
      <c r="A12">
        <v>22</v>
      </c>
      <c r="B12">
        <v>467.7</v>
      </c>
      <c r="C12">
        <v>74.5</v>
      </c>
      <c r="D12">
        <v>451</v>
      </c>
      <c r="E12">
        <v>73.599999999999994</v>
      </c>
      <c r="F12">
        <v>423.8</v>
      </c>
      <c r="G12">
        <v>39.6</v>
      </c>
      <c r="H12">
        <v>409.9</v>
      </c>
      <c r="I12">
        <v>37.9</v>
      </c>
      <c r="J12" s="1">
        <f t="shared" si="0"/>
        <v>0.51494565217391308</v>
      </c>
      <c r="K12">
        <v>1</v>
      </c>
      <c r="L12" s="1">
        <f t="shared" si="2"/>
        <v>0.96429335043831521</v>
      </c>
      <c r="M12" s="1">
        <f t="shared" si="3"/>
        <v>0.90613641223006203</v>
      </c>
      <c r="N12" s="1">
        <f t="shared" si="1"/>
        <v>0.87641650630746204</v>
      </c>
    </row>
    <row r="13" spans="1:14" x14ac:dyDescent="0.2">
      <c r="A13">
        <v>24</v>
      </c>
      <c r="B13">
        <v>488.5</v>
      </c>
      <c r="C13">
        <v>85.1</v>
      </c>
      <c r="D13">
        <v>474</v>
      </c>
      <c r="E13">
        <v>85.3</v>
      </c>
      <c r="F13">
        <v>440.4</v>
      </c>
      <c r="G13">
        <v>45.3</v>
      </c>
      <c r="H13">
        <v>429.3</v>
      </c>
      <c r="I13">
        <v>44.5</v>
      </c>
      <c r="J13" s="1">
        <f t="shared" si="0"/>
        <v>0.5216881594372802</v>
      </c>
      <c r="K13">
        <v>1</v>
      </c>
      <c r="L13" s="1">
        <f t="shared" si="2"/>
        <v>0.97031729785056298</v>
      </c>
      <c r="M13" s="1">
        <f t="shared" si="3"/>
        <v>0.90153531218014327</v>
      </c>
      <c r="N13" s="1">
        <f t="shared" si="1"/>
        <v>0.87881269191402256</v>
      </c>
    </row>
    <row r="14" spans="1:14" x14ac:dyDescent="0.2">
      <c r="A14">
        <v>26</v>
      </c>
      <c r="B14">
        <v>510.7</v>
      </c>
      <c r="C14">
        <v>93.1</v>
      </c>
      <c r="D14">
        <v>494.8</v>
      </c>
      <c r="E14">
        <v>92.7</v>
      </c>
      <c r="F14">
        <v>457.9</v>
      </c>
      <c r="G14">
        <v>49.6</v>
      </c>
      <c r="H14">
        <v>445.6</v>
      </c>
      <c r="I14">
        <v>48.2</v>
      </c>
      <c r="J14" s="1">
        <f t="shared" si="0"/>
        <v>0.51995685005393744</v>
      </c>
      <c r="K14">
        <v>1</v>
      </c>
      <c r="L14" s="1">
        <f t="shared" si="2"/>
        <v>0.96886626199334247</v>
      </c>
      <c r="M14" s="1">
        <f t="shared" si="3"/>
        <v>0.89661249265713727</v>
      </c>
      <c r="N14" s="1">
        <f t="shared" si="1"/>
        <v>0.87252790287840221</v>
      </c>
    </row>
    <row r="15" spans="1:14" x14ac:dyDescent="0.2">
      <c r="A15">
        <v>28</v>
      </c>
      <c r="B15">
        <v>532</v>
      </c>
      <c r="C15">
        <v>101.5</v>
      </c>
      <c r="D15">
        <v>516.1</v>
      </c>
      <c r="E15">
        <v>102.3</v>
      </c>
      <c r="F15">
        <v>473.4</v>
      </c>
      <c r="G15">
        <v>52.9</v>
      </c>
      <c r="H15">
        <v>462.2</v>
      </c>
      <c r="I15">
        <v>52.1</v>
      </c>
      <c r="J15" s="1">
        <f t="shared" si="0"/>
        <v>0.50928641251221896</v>
      </c>
      <c r="K15">
        <v>1</v>
      </c>
      <c r="L15" s="1">
        <f t="shared" si="2"/>
        <v>0.97011278195488726</v>
      </c>
      <c r="M15" s="1">
        <f t="shared" si="3"/>
        <v>0.88984962406015033</v>
      </c>
      <c r="N15" s="1">
        <f t="shared" si="1"/>
        <v>0.86879699248120301</v>
      </c>
    </row>
    <row r="16" spans="1:14" x14ac:dyDescent="0.2">
      <c r="A16">
        <v>30</v>
      </c>
      <c r="B16">
        <v>550.4</v>
      </c>
      <c r="C16">
        <v>109.9</v>
      </c>
      <c r="D16">
        <v>535.5</v>
      </c>
      <c r="E16">
        <v>110.1</v>
      </c>
      <c r="F16">
        <v>489.6</v>
      </c>
      <c r="G16">
        <v>57.9</v>
      </c>
      <c r="H16">
        <v>478</v>
      </c>
      <c r="I16">
        <v>55.5</v>
      </c>
      <c r="J16" s="1">
        <f t="shared" si="0"/>
        <v>0.50408719346049047</v>
      </c>
      <c r="K16">
        <v>1</v>
      </c>
      <c r="L16" s="1">
        <f t="shared" si="2"/>
        <v>0.97292877906976749</v>
      </c>
      <c r="M16" s="1">
        <f t="shared" si="3"/>
        <v>0.88953488372093026</v>
      </c>
      <c r="N16" s="1">
        <f t="shared" si="1"/>
        <v>0.86845930232558144</v>
      </c>
    </row>
    <row r="17" spans="1:14" x14ac:dyDescent="0.2">
      <c r="A17">
        <v>32</v>
      </c>
      <c r="B17">
        <v>575</v>
      </c>
      <c r="C17">
        <v>116.2</v>
      </c>
      <c r="D17">
        <v>556.29999999999995</v>
      </c>
      <c r="E17">
        <v>115.7</v>
      </c>
      <c r="F17">
        <v>507.2</v>
      </c>
      <c r="G17">
        <v>60.3</v>
      </c>
      <c r="H17">
        <v>495.8</v>
      </c>
      <c r="I17">
        <v>57.8</v>
      </c>
      <c r="J17" s="1">
        <f t="shared" si="0"/>
        <v>0.49956784788245456</v>
      </c>
      <c r="K17">
        <v>1</v>
      </c>
      <c r="L17" s="1">
        <f t="shared" si="2"/>
        <v>0.96747826086956512</v>
      </c>
      <c r="M17" s="1">
        <f t="shared" si="3"/>
        <v>0.88208695652173907</v>
      </c>
      <c r="N17" s="1">
        <f t="shared" si="1"/>
        <v>0.86226086956521741</v>
      </c>
    </row>
    <row r="18" spans="1:14" x14ac:dyDescent="0.2">
      <c r="A18">
        <v>34</v>
      </c>
      <c r="B18">
        <v>598</v>
      </c>
      <c r="C18">
        <v>122</v>
      </c>
      <c r="D18">
        <v>577.70000000000005</v>
      </c>
      <c r="E18">
        <v>121</v>
      </c>
      <c r="F18">
        <v>524.4</v>
      </c>
      <c r="G18">
        <v>63.6</v>
      </c>
      <c r="H18">
        <v>512.20000000000005</v>
      </c>
      <c r="I18">
        <v>62.1</v>
      </c>
      <c r="J18" s="1">
        <f t="shared" si="0"/>
        <v>0.51322314049586781</v>
      </c>
      <c r="K18">
        <v>1</v>
      </c>
      <c r="L18" s="1">
        <f t="shared" si="2"/>
        <v>0.96605351170568565</v>
      </c>
      <c r="M18" s="1">
        <f t="shared" si="3"/>
        <v>0.87692307692307692</v>
      </c>
      <c r="N18" s="1">
        <f t="shared" si="1"/>
        <v>0.85652173913043483</v>
      </c>
    </row>
    <row r="19" spans="1:14" x14ac:dyDescent="0.2">
      <c r="A19">
        <v>36</v>
      </c>
      <c r="B19">
        <v>616.5</v>
      </c>
      <c r="C19">
        <v>130.9</v>
      </c>
      <c r="D19">
        <v>596.6</v>
      </c>
      <c r="E19">
        <v>131.30000000000001</v>
      </c>
      <c r="F19">
        <v>537.9</v>
      </c>
      <c r="G19">
        <v>67.599999999999994</v>
      </c>
      <c r="H19">
        <v>529.20000000000005</v>
      </c>
      <c r="I19">
        <v>67.2</v>
      </c>
      <c r="J19" s="1">
        <f t="shared" si="0"/>
        <v>0.51180502665651173</v>
      </c>
      <c r="K19">
        <v>1</v>
      </c>
      <c r="L19" s="1">
        <f t="shared" si="2"/>
        <v>0.96772100567721009</v>
      </c>
      <c r="M19" s="1">
        <f t="shared" si="3"/>
        <v>0.87250608272506081</v>
      </c>
      <c r="N19" s="1">
        <f t="shared" si="1"/>
        <v>0.85839416058394169</v>
      </c>
    </row>
    <row r="20" spans="1:14" x14ac:dyDescent="0.2">
      <c r="A20">
        <v>38</v>
      </c>
      <c r="B20">
        <v>636.70000000000005</v>
      </c>
      <c r="C20">
        <v>139.4</v>
      </c>
      <c r="D20">
        <v>618.5</v>
      </c>
      <c r="E20">
        <v>138.80000000000001</v>
      </c>
      <c r="F20">
        <v>556.1</v>
      </c>
      <c r="G20">
        <v>73.5</v>
      </c>
      <c r="H20">
        <v>544</v>
      </c>
      <c r="I20">
        <v>71.2</v>
      </c>
      <c r="J20" s="1">
        <f t="shared" si="0"/>
        <v>0.51296829971181557</v>
      </c>
      <c r="K20">
        <v>1</v>
      </c>
      <c r="L20" s="1">
        <f t="shared" si="2"/>
        <v>0.97141510915658857</v>
      </c>
      <c r="M20" s="1">
        <f t="shared" si="3"/>
        <v>0.8734097691220355</v>
      </c>
      <c r="N20" s="1">
        <f t="shared" si="1"/>
        <v>0.85440552850636087</v>
      </c>
    </row>
    <row r="21" spans="1:14" x14ac:dyDescent="0.2">
      <c r="A21">
        <v>40</v>
      </c>
      <c r="B21">
        <v>655.20000000000005</v>
      </c>
      <c r="C21">
        <v>148.80000000000001</v>
      </c>
      <c r="D21">
        <v>637.29999999999995</v>
      </c>
      <c r="E21">
        <v>147.69999999999999</v>
      </c>
      <c r="F21">
        <v>570.1</v>
      </c>
      <c r="G21">
        <v>78.3</v>
      </c>
      <c r="H21">
        <v>560.79999999999995</v>
      </c>
      <c r="I21">
        <v>75.599999999999994</v>
      </c>
      <c r="J21" s="1">
        <f t="shared" si="0"/>
        <v>0.51184834123222744</v>
      </c>
      <c r="K21">
        <v>1</v>
      </c>
      <c r="L21" s="1">
        <f t="shared" si="2"/>
        <v>0.97268009768009756</v>
      </c>
      <c r="M21" s="1">
        <f t="shared" si="3"/>
        <v>0.87011599511599513</v>
      </c>
      <c r="N21" s="1">
        <f t="shared" si="1"/>
        <v>0.85592185592185577</v>
      </c>
    </row>
    <row r="22" spans="1:14" x14ac:dyDescent="0.2">
      <c r="A22">
        <v>60</v>
      </c>
      <c r="B22">
        <v>868.4</v>
      </c>
      <c r="C22">
        <v>258.2</v>
      </c>
      <c r="D22">
        <v>844.8</v>
      </c>
      <c r="E22">
        <v>256.7</v>
      </c>
      <c r="F22">
        <v>732.3</v>
      </c>
      <c r="G22">
        <v>138.80000000000001</v>
      </c>
      <c r="H22">
        <v>722.9</v>
      </c>
      <c r="I22">
        <v>134.69999999999999</v>
      </c>
      <c r="J22" s="1">
        <f t="shared" si="0"/>
        <v>0.52473704713673541</v>
      </c>
      <c r="K22">
        <v>1</v>
      </c>
      <c r="L22" s="1">
        <f t="shared" si="2"/>
        <v>0.9728235836020267</v>
      </c>
      <c r="M22" s="1">
        <f t="shared" si="3"/>
        <v>0.84327498848456928</v>
      </c>
      <c r="N22" s="1">
        <f t="shared" si="1"/>
        <v>0.83245048364808838</v>
      </c>
    </row>
    <row r="23" spans="1:14" x14ac:dyDescent="0.2">
      <c r="A23">
        <v>80</v>
      </c>
      <c r="B23">
        <v>1076.2</v>
      </c>
      <c r="C23">
        <v>425.8</v>
      </c>
      <c r="D23">
        <v>1045.9000000000001</v>
      </c>
      <c r="E23">
        <v>420.3</v>
      </c>
      <c r="F23">
        <v>886</v>
      </c>
      <c r="G23">
        <v>231.7</v>
      </c>
      <c r="H23">
        <v>877.6</v>
      </c>
      <c r="I23">
        <v>228.2</v>
      </c>
      <c r="J23" s="1">
        <f t="shared" si="0"/>
        <v>0.54294551510825595</v>
      </c>
      <c r="K23">
        <v>1</v>
      </c>
      <c r="L23" s="1">
        <f t="shared" si="2"/>
        <v>0.97184538189927527</v>
      </c>
      <c r="M23" s="1">
        <f t="shared" si="3"/>
        <v>0.82326705073406425</v>
      </c>
      <c r="N23" s="1">
        <f t="shared" si="1"/>
        <v>0.8154618100724772</v>
      </c>
    </row>
    <row r="24" spans="1:14" x14ac:dyDescent="0.2">
      <c r="A24">
        <v>100</v>
      </c>
      <c r="B24">
        <v>1286.0999999999999</v>
      </c>
      <c r="C24">
        <v>594.6</v>
      </c>
      <c r="D24">
        <v>1246.9000000000001</v>
      </c>
      <c r="E24">
        <v>584.79999999999995</v>
      </c>
      <c r="F24">
        <v>1041.5999999999999</v>
      </c>
      <c r="G24">
        <v>326.89999999999998</v>
      </c>
      <c r="H24">
        <v>1030.5</v>
      </c>
      <c r="I24">
        <v>323.7</v>
      </c>
      <c r="J24" s="1">
        <f t="shared" si="0"/>
        <v>0.55352257181942544</v>
      </c>
      <c r="K24">
        <v>1</v>
      </c>
      <c r="L24" s="1">
        <f t="shared" si="2"/>
        <v>0.96952025503460082</v>
      </c>
      <c r="M24" s="1">
        <f t="shared" si="3"/>
        <v>0.80989036622346633</v>
      </c>
      <c r="N24" s="1">
        <f t="shared" si="1"/>
        <v>0.8012596221133661</v>
      </c>
    </row>
    <row r="25" spans="1:14" x14ac:dyDescent="0.2">
      <c r="A25">
        <v>120</v>
      </c>
      <c r="B25">
        <v>1491.2</v>
      </c>
      <c r="C25">
        <v>834.2</v>
      </c>
      <c r="D25">
        <v>1456.8</v>
      </c>
      <c r="E25">
        <v>823.3</v>
      </c>
      <c r="F25">
        <v>1198.8</v>
      </c>
      <c r="G25">
        <v>463.2</v>
      </c>
      <c r="H25">
        <v>1186.5999999999999</v>
      </c>
      <c r="I25">
        <v>457.3</v>
      </c>
      <c r="J25" s="1">
        <f t="shared" si="0"/>
        <v>0.55544758897121349</v>
      </c>
      <c r="K25">
        <v>1</v>
      </c>
      <c r="L25" s="1">
        <f t="shared" si="2"/>
        <v>0.9769313304721029</v>
      </c>
      <c r="M25" s="1">
        <f t="shared" si="3"/>
        <v>0.80391630901287547</v>
      </c>
      <c r="N25" s="1">
        <f t="shared" si="1"/>
        <v>0.79573497854077246</v>
      </c>
    </row>
    <row r="26" spans="1:14" x14ac:dyDescent="0.2">
      <c r="A26">
        <v>140</v>
      </c>
      <c r="B26">
        <v>1700.7</v>
      </c>
      <c r="C26">
        <v>11516.9</v>
      </c>
      <c r="D26">
        <v>1655</v>
      </c>
      <c r="E26">
        <v>5767.2</v>
      </c>
      <c r="F26">
        <v>1346.7</v>
      </c>
      <c r="G26">
        <v>9973.6</v>
      </c>
      <c r="H26">
        <v>1337.1</v>
      </c>
      <c r="I26">
        <v>626.20000000000005</v>
      </c>
      <c r="J26" s="1"/>
      <c r="K26">
        <v>1</v>
      </c>
      <c r="L26" s="1">
        <f t="shared" si="2"/>
        <v>0.97312871170694415</v>
      </c>
      <c r="M26" s="1">
        <f t="shared" si="3"/>
        <v>0.79185041453519145</v>
      </c>
      <c r="N26" s="1">
        <f t="shared" si="1"/>
        <v>0.78620568001411173</v>
      </c>
    </row>
    <row r="27" spans="1:14" x14ac:dyDescent="0.2">
      <c r="A27">
        <v>160</v>
      </c>
      <c r="B27">
        <v>1905.2</v>
      </c>
      <c r="C27">
        <v>15456.6</v>
      </c>
      <c r="D27">
        <v>1858.6</v>
      </c>
      <c r="E27">
        <v>15702.7</v>
      </c>
      <c r="F27">
        <v>1496.7</v>
      </c>
      <c r="G27">
        <v>23649.1</v>
      </c>
      <c r="H27">
        <v>1490.5</v>
      </c>
      <c r="I27">
        <v>18709.599999999999</v>
      </c>
      <c r="J27" s="1"/>
      <c r="K27">
        <v>1</v>
      </c>
      <c r="L27" s="1">
        <f t="shared" si="2"/>
        <v>0.975540625656099</v>
      </c>
      <c r="M27" s="1">
        <f t="shared" si="3"/>
        <v>0.78558681503254257</v>
      </c>
      <c r="N27" s="1">
        <f t="shared" si="1"/>
        <v>0.7823325635103926</v>
      </c>
    </row>
    <row r="28" spans="1:14" x14ac:dyDescent="0.2">
      <c r="A28">
        <v>180</v>
      </c>
      <c r="B28">
        <v>2110.1</v>
      </c>
      <c r="C28">
        <v>8375.2999999999993</v>
      </c>
      <c r="D28">
        <v>2056</v>
      </c>
      <c r="E28">
        <v>16101.5</v>
      </c>
      <c r="F28">
        <v>1643.5</v>
      </c>
      <c r="G28">
        <v>1030.3</v>
      </c>
      <c r="H28">
        <v>1633.9</v>
      </c>
      <c r="I28">
        <v>1025.3</v>
      </c>
      <c r="J28" s="1"/>
      <c r="K28">
        <v>1</v>
      </c>
      <c r="L28" s="1">
        <f t="shared" si="2"/>
        <v>0.97436140467276433</v>
      </c>
      <c r="M28" s="1">
        <f t="shared" si="3"/>
        <v>0.77887303919245532</v>
      </c>
      <c r="N28" s="1">
        <f t="shared" si="1"/>
        <v>0.77432349177764093</v>
      </c>
    </row>
    <row r="29" spans="1:14" x14ac:dyDescent="0.2">
      <c r="A29">
        <v>200</v>
      </c>
      <c r="B29">
        <v>2312.5</v>
      </c>
      <c r="C29">
        <v>6707.7</v>
      </c>
      <c r="D29">
        <v>2253.1999999999998</v>
      </c>
      <c r="E29">
        <v>7988.3</v>
      </c>
      <c r="F29">
        <v>1794.4</v>
      </c>
      <c r="G29">
        <v>5830.4</v>
      </c>
      <c r="H29">
        <v>1785.6</v>
      </c>
      <c r="I29">
        <v>7384.9</v>
      </c>
      <c r="J29" s="1"/>
      <c r="K29">
        <v>1</v>
      </c>
      <c r="L29" s="1">
        <f t="shared" si="2"/>
        <v>0.9743567567567567</v>
      </c>
      <c r="M29" s="1">
        <f t="shared" si="3"/>
        <v>0.77595675675675679</v>
      </c>
      <c r="N29" s="1">
        <f t="shared" si="1"/>
        <v>0.77215135135135127</v>
      </c>
    </row>
    <row r="30" spans="1:14" x14ac:dyDescent="0.2">
      <c r="A30">
        <v>300</v>
      </c>
      <c r="B30">
        <v>3352</v>
      </c>
      <c r="C30">
        <v>4392.2</v>
      </c>
      <c r="D30">
        <v>3265.5</v>
      </c>
      <c r="E30">
        <v>4322.3</v>
      </c>
      <c r="F30">
        <v>2528.6999999999998</v>
      </c>
      <c r="G30">
        <v>2341.1</v>
      </c>
      <c r="H30">
        <v>2515.4</v>
      </c>
      <c r="I30">
        <v>2313.8000000000002</v>
      </c>
      <c r="J30" s="1">
        <f t="shared" si="0"/>
        <v>0.53531684519815836</v>
      </c>
      <c r="K30">
        <v>1</v>
      </c>
      <c r="L30" s="1">
        <f t="shared" si="2"/>
        <v>0.97419451073985686</v>
      </c>
      <c r="M30" s="1">
        <f t="shared" si="3"/>
        <v>0.75438544152744624</v>
      </c>
      <c r="N30" s="1">
        <f t="shared" si="1"/>
        <v>0.75041766109785202</v>
      </c>
    </row>
    <row r="31" spans="1:14" x14ac:dyDescent="0.2">
      <c r="A31">
        <v>400</v>
      </c>
      <c r="B31">
        <v>4356.8999999999996</v>
      </c>
      <c r="C31">
        <v>9146.5</v>
      </c>
      <c r="D31">
        <v>4252.8999999999996</v>
      </c>
      <c r="E31">
        <v>8857.5</v>
      </c>
      <c r="F31">
        <v>3231.4</v>
      </c>
      <c r="G31">
        <v>4526.1000000000004</v>
      </c>
      <c r="H31">
        <v>3220.3</v>
      </c>
      <c r="I31">
        <v>4556.1000000000004</v>
      </c>
      <c r="J31" s="1">
        <f t="shared" si="0"/>
        <v>0.51437764606265879</v>
      </c>
      <c r="K31">
        <v>1</v>
      </c>
      <c r="L31" s="1">
        <f t="shared" si="2"/>
        <v>0.97612981707177127</v>
      </c>
      <c r="M31" s="1">
        <f t="shared" si="3"/>
        <v>0.74167412609883188</v>
      </c>
      <c r="N31" s="1">
        <f t="shared" si="1"/>
        <v>0.73912644311322284</v>
      </c>
    </row>
    <row r="32" spans="1:14" x14ac:dyDescent="0.2">
      <c r="A32">
        <v>500</v>
      </c>
      <c r="B32">
        <v>5397.9</v>
      </c>
      <c r="C32">
        <v>13599.9</v>
      </c>
      <c r="D32">
        <v>5250</v>
      </c>
      <c r="E32">
        <v>13327</v>
      </c>
      <c r="F32">
        <v>3937.6</v>
      </c>
      <c r="G32">
        <v>6381.9</v>
      </c>
      <c r="H32">
        <v>3924.6</v>
      </c>
      <c r="I32">
        <v>6414.5</v>
      </c>
      <c r="J32" s="1">
        <f t="shared" si="0"/>
        <v>0.48131612515945071</v>
      </c>
      <c r="K32">
        <v>1</v>
      </c>
      <c r="L32" s="1">
        <f t="shared" si="2"/>
        <v>0.97260045573278509</v>
      </c>
      <c r="M32" s="1">
        <f t="shared" si="3"/>
        <v>0.72946886752255513</v>
      </c>
      <c r="N32" s="1">
        <f t="shared" si="1"/>
        <v>0.72706052353693107</v>
      </c>
    </row>
    <row r="33" spans="1:14" x14ac:dyDescent="0.2">
      <c r="A33">
        <v>600</v>
      </c>
      <c r="B33">
        <v>6388.3</v>
      </c>
      <c r="C33">
        <v>19205.599999999999</v>
      </c>
      <c r="D33">
        <v>6244</v>
      </c>
      <c r="E33">
        <v>18763.400000000001</v>
      </c>
      <c r="F33">
        <v>4613.3</v>
      </c>
      <c r="G33">
        <v>8506.1</v>
      </c>
      <c r="H33">
        <v>4601.8</v>
      </c>
      <c r="I33">
        <v>8471</v>
      </c>
      <c r="J33" s="1">
        <f t="shared" si="0"/>
        <v>0.45146402038010164</v>
      </c>
      <c r="K33">
        <v>1</v>
      </c>
      <c r="L33" s="1">
        <f t="shared" si="2"/>
        <v>0.97741183100355333</v>
      </c>
      <c r="M33" s="1">
        <f t="shared" si="3"/>
        <v>0.72214830236526151</v>
      </c>
      <c r="N33" s="1">
        <f t="shared" si="1"/>
        <v>0.72034813643692375</v>
      </c>
    </row>
    <row r="34" spans="1:14" x14ac:dyDescent="0.2">
      <c r="A34">
        <v>700</v>
      </c>
      <c r="B34">
        <v>7416.8</v>
      </c>
      <c r="C34">
        <v>27234.799999999999</v>
      </c>
      <c r="D34">
        <v>7240.1</v>
      </c>
      <c r="E34">
        <v>26778</v>
      </c>
      <c r="F34">
        <v>5293.1</v>
      </c>
      <c r="G34">
        <v>11528.9</v>
      </c>
      <c r="H34">
        <v>5283</v>
      </c>
      <c r="I34">
        <v>11470.1</v>
      </c>
      <c r="J34" s="1">
        <f t="shared" si="0"/>
        <v>0.42834042871013522</v>
      </c>
      <c r="K34">
        <v>1</v>
      </c>
      <c r="L34" s="1">
        <f t="shared" si="2"/>
        <v>0.97617570920073349</v>
      </c>
      <c r="M34" s="1">
        <f t="shared" si="3"/>
        <v>0.71366357458742313</v>
      </c>
      <c r="N34" s="1">
        <f t="shared" si="1"/>
        <v>0.71230180131593135</v>
      </c>
    </row>
    <row r="35" spans="1:14" x14ac:dyDescent="0.2">
      <c r="A35">
        <v>800</v>
      </c>
      <c r="B35">
        <v>8421.4</v>
      </c>
      <c r="C35">
        <v>39816.6</v>
      </c>
      <c r="D35">
        <v>8226.2000000000007</v>
      </c>
      <c r="E35">
        <v>38827.699999999997</v>
      </c>
      <c r="F35">
        <v>5971.2</v>
      </c>
      <c r="G35">
        <v>15797.1</v>
      </c>
      <c r="H35">
        <v>5957.9</v>
      </c>
      <c r="I35">
        <v>15867.4</v>
      </c>
      <c r="J35" s="1">
        <f t="shared" si="0"/>
        <v>0.40866185738532029</v>
      </c>
      <c r="K35">
        <v>1</v>
      </c>
      <c r="L35" s="1">
        <f t="shared" si="2"/>
        <v>0.97682095613555953</v>
      </c>
      <c r="M35" s="1">
        <f t="shared" si="3"/>
        <v>0.70905075165649423</v>
      </c>
      <c r="N35" s="1">
        <f t="shared" si="1"/>
        <v>0.70747144180302557</v>
      </c>
    </row>
    <row r="36" spans="1:14" x14ac:dyDescent="0.2">
      <c r="A36">
        <v>900</v>
      </c>
      <c r="J36" s="1" t="e">
        <f t="shared" si="0"/>
        <v>#DIV/0!</v>
      </c>
      <c r="K36">
        <v>1</v>
      </c>
      <c r="L36" s="1" t="e">
        <f t="shared" si="2"/>
        <v>#DIV/0!</v>
      </c>
      <c r="M36" s="1" t="e">
        <f t="shared" si="3"/>
        <v>#DIV/0!</v>
      </c>
      <c r="N36" s="1" t="e">
        <f t="shared" si="1"/>
        <v>#DIV/0!</v>
      </c>
    </row>
    <row r="37" spans="1:14" x14ac:dyDescent="0.2">
      <c r="A37">
        <v>1000</v>
      </c>
      <c r="J37" s="1" t="e">
        <f t="shared" si="0"/>
        <v>#DIV/0!</v>
      </c>
      <c r="K37">
        <v>1</v>
      </c>
      <c r="L37" s="1" t="e">
        <f t="shared" si="2"/>
        <v>#DIV/0!</v>
      </c>
      <c r="M37" s="1" t="e">
        <f t="shared" si="3"/>
        <v>#DIV/0!</v>
      </c>
      <c r="N37" s="1" t="e">
        <f t="shared" si="1"/>
        <v>#DIV/0!</v>
      </c>
    </row>
    <row r="38" spans="1:14" x14ac:dyDescent="0.2">
      <c r="A38">
        <v>1100</v>
      </c>
      <c r="J38" s="1" t="e">
        <f t="shared" si="0"/>
        <v>#DIV/0!</v>
      </c>
      <c r="K38">
        <v>1</v>
      </c>
      <c r="L38" s="1" t="e">
        <f t="shared" si="2"/>
        <v>#DIV/0!</v>
      </c>
      <c r="M38" s="1" t="e">
        <f t="shared" si="3"/>
        <v>#DIV/0!</v>
      </c>
      <c r="N38" s="1" t="e">
        <f t="shared" si="1"/>
        <v>#DIV/0!</v>
      </c>
    </row>
    <row r="39" spans="1:14" x14ac:dyDescent="0.2">
      <c r="A39">
        <v>1200</v>
      </c>
      <c r="J39" s="1" t="e">
        <f t="shared" si="0"/>
        <v>#DIV/0!</v>
      </c>
      <c r="K39">
        <v>1</v>
      </c>
      <c r="L39" s="1" t="e">
        <f t="shared" si="2"/>
        <v>#DIV/0!</v>
      </c>
      <c r="M39" s="1" t="e">
        <f t="shared" si="3"/>
        <v>#DIV/0!</v>
      </c>
      <c r="N39" s="1" t="e">
        <f t="shared" si="1"/>
        <v>#DIV/0!</v>
      </c>
    </row>
    <row r="40" spans="1:14" x14ac:dyDescent="0.2">
      <c r="A40">
        <v>1300</v>
      </c>
      <c r="J40" s="1" t="e">
        <f t="shared" si="0"/>
        <v>#DIV/0!</v>
      </c>
      <c r="K40">
        <v>1</v>
      </c>
      <c r="L40" s="1" t="e">
        <f t="shared" si="2"/>
        <v>#DIV/0!</v>
      </c>
      <c r="M40" s="1" t="e">
        <f t="shared" si="3"/>
        <v>#DIV/0!</v>
      </c>
      <c r="N40" s="1" t="e">
        <f t="shared" si="1"/>
        <v>#DIV/0!</v>
      </c>
    </row>
    <row r="41" spans="1:14" x14ac:dyDescent="0.2">
      <c r="A41">
        <v>1400</v>
      </c>
      <c r="J41" s="1" t="e">
        <f t="shared" si="0"/>
        <v>#DIV/0!</v>
      </c>
      <c r="K41">
        <v>1</v>
      </c>
      <c r="L41" s="1" t="e">
        <f t="shared" si="2"/>
        <v>#DIV/0!</v>
      </c>
      <c r="M41" s="1" t="e">
        <f t="shared" si="3"/>
        <v>#DIV/0!</v>
      </c>
      <c r="N41" s="1" t="e">
        <f t="shared" si="1"/>
        <v>#DIV/0!</v>
      </c>
    </row>
    <row r="42" spans="1:14" x14ac:dyDescent="0.2">
      <c r="A42">
        <v>1500</v>
      </c>
      <c r="J42" s="1" t="e">
        <f t="shared" si="0"/>
        <v>#DIV/0!</v>
      </c>
      <c r="K42">
        <v>1</v>
      </c>
      <c r="L42" s="1" t="e">
        <f t="shared" si="2"/>
        <v>#DIV/0!</v>
      </c>
      <c r="M42" s="1" t="e">
        <f t="shared" si="3"/>
        <v>#DIV/0!</v>
      </c>
      <c r="N42" s="1" t="e">
        <f t="shared" si="1"/>
        <v>#DIV/0!</v>
      </c>
    </row>
    <row r="43" spans="1:14" x14ac:dyDescent="0.2">
      <c r="A43">
        <v>1600</v>
      </c>
      <c r="J43" s="1" t="e">
        <f t="shared" si="0"/>
        <v>#DIV/0!</v>
      </c>
      <c r="K43">
        <v>1</v>
      </c>
      <c r="L43" s="1" t="e">
        <f t="shared" si="2"/>
        <v>#DIV/0!</v>
      </c>
      <c r="M43" s="1" t="e">
        <f t="shared" si="3"/>
        <v>#DIV/0!</v>
      </c>
      <c r="N43" s="1" t="e">
        <f t="shared" si="1"/>
        <v>#DIV/0!</v>
      </c>
    </row>
    <row r="44" spans="1:14" x14ac:dyDescent="0.2">
      <c r="A44">
        <v>1700</v>
      </c>
      <c r="J44" s="1" t="e">
        <f t="shared" si="0"/>
        <v>#DIV/0!</v>
      </c>
      <c r="K44">
        <v>1</v>
      </c>
      <c r="L44" s="1" t="e">
        <f t="shared" si="2"/>
        <v>#DIV/0!</v>
      </c>
      <c r="M44" s="1" t="e">
        <f t="shared" si="3"/>
        <v>#DIV/0!</v>
      </c>
      <c r="N44" s="1" t="e">
        <f t="shared" si="1"/>
        <v>#DIV/0!</v>
      </c>
    </row>
    <row r="45" spans="1:14" x14ac:dyDescent="0.2">
      <c r="A45">
        <v>1800</v>
      </c>
      <c r="J45" s="1" t="e">
        <f t="shared" si="0"/>
        <v>#DIV/0!</v>
      </c>
      <c r="K45">
        <v>1</v>
      </c>
      <c r="L45" s="1" t="e">
        <f t="shared" si="2"/>
        <v>#DIV/0!</v>
      </c>
      <c r="M45" s="1" t="e">
        <f t="shared" si="3"/>
        <v>#DIV/0!</v>
      </c>
      <c r="N45" s="1" t="e">
        <f t="shared" si="1"/>
        <v>#DIV/0!</v>
      </c>
    </row>
    <row r="46" spans="1:14" x14ac:dyDescent="0.2">
      <c r="A46">
        <v>1900</v>
      </c>
      <c r="J46" s="1"/>
      <c r="K46">
        <v>1</v>
      </c>
      <c r="L46" s="1" t="e">
        <f t="shared" si="2"/>
        <v>#DIV/0!</v>
      </c>
      <c r="M46" s="1" t="e">
        <f t="shared" si="3"/>
        <v>#DIV/0!</v>
      </c>
      <c r="N46" s="1" t="e">
        <f t="shared" si="1"/>
        <v>#DIV/0!</v>
      </c>
    </row>
    <row r="47" spans="1:14" x14ac:dyDescent="0.2">
      <c r="L47" s="1"/>
      <c r="M47" s="1"/>
      <c r="N47" s="1"/>
    </row>
    <row r="48" spans="1:14" x14ac:dyDescent="0.2">
      <c r="L48" s="1"/>
      <c r="M48" s="1"/>
      <c r="N48" s="1"/>
    </row>
    <row r="49" spans="12:14" x14ac:dyDescent="0.2">
      <c r="L49" s="1"/>
      <c r="M49" s="1"/>
      <c r="N49" s="1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6C9A-5FE1-FE4D-B063-AFC1AE430D3E}">
  <dimension ref="A1:N49"/>
  <sheetViews>
    <sheetView topLeftCell="A2" workbookViewId="0">
      <selection sqref="A1:I35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36.6</v>
      </c>
      <c r="C2">
        <v>12.8</v>
      </c>
      <c r="D2">
        <v>33.799999999999997</v>
      </c>
      <c r="E2">
        <v>13.2</v>
      </c>
      <c r="F2">
        <v>50.6</v>
      </c>
      <c r="G2">
        <v>11.7</v>
      </c>
      <c r="H2">
        <v>32.799999999999997</v>
      </c>
      <c r="I2">
        <v>10.4</v>
      </c>
      <c r="J2" s="1">
        <f t="shared" ref="J2:J45" si="0">I2/E2</f>
        <v>0.78787878787878796</v>
      </c>
      <c r="K2">
        <v>1</v>
      </c>
      <c r="L2" s="1">
        <f>D2/B2</f>
        <v>0.92349726775956276</v>
      </c>
      <c r="M2" s="1">
        <f>F2/B2</f>
        <v>1.3825136612021858</v>
      </c>
      <c r="N2" s="1">
        <f t="shared" ref="N2:N46" si="1">H2/B2</f>
        <v>0.89617486338797803</v>
      </c>
    </row>
    <row r="3" spans="1:14" x14ac:dyDescent="0.2">
      <c r="A3">
        <v>4</v>
      </c>
      <c r="B3">
        <v>72.5</v>
      </c>
      <c r="C3">
        <v>22</v>
      </c>
      <c r="D3">
        <v>70.7</v>
      </c>
      <c r="E3">
        <v>22.2</v>
      </c>
      <c r="F3">
        <v>86.2</v>
      </c>
      <c r="G3">
        <v>17.899999999999999</v>
      </c>
      <c r="H3">
        <v>65.2</v>
      </c>
      <c r="I3">
        <v>16.8</v>
      </c>
      <c r="J3" s="1">
        <f t="shared" si="0"/>
        <v>0.7567567567567568</v>
      </c>
      <c r="K3">
        <v>1</v>
      </c>
      <c r="L3" s="1">
        <f t="shared" ref="L3:L46" si="2">D3/B3</f>
        <v>0.97517241379310349</v>
      </c>
      <c r="M3" s="1">
        <f t="shared" ref="M3:M46" si="3">F3/B3</f>
        <v>1.1889655172413793</v>
      </c>
      <c r="N3" s="1">
        <f t="shared" si="1"/>
        <v>0.89931034482758621</v>
      </c>
    </row>
    <row r="4" spans="1:14" x14ac:dyDescent="0.2">
      <c r="A4">
        <v>6</v>
      </c>
      <c r="B4">
        <v>101</v>
      </c>
      <c r="C4">
        <v>24.7</v>
      </c>
      <c r="D4">
        <v>98</v>
      </c>
      <c r="E4">
        <v>24.2</v>
      </c>
      <c r="F4">
        <v>109.9</v>
      </c>
      <c r="G4">
        <v>17.7</v>
      </c>
      <c r="H4">
        <v>94.4</v>
      </c>
      <c r="I4">
        <v>15.6</v>
      </c>
      <c r="J4" s="1">
        <f t="shared" si="0"/>
        <v>0.64462809917355368</v>
      </c>
      <c r="K4">
        <v>1</v>
      </c>
      <c r="L4" s="1">
        <f t="shared" si="2"/>
        <v>0.97029702970297027</v>
      </c>
      <c r="M4" s="1">
        <f t="shared" si="3"/>
        <v>1.0881188118811882</v>
      </c>
      <c r="N4" s="1">
        <f t="shared" si="1"/>
        <v>0.93465346534653471</v>
      </c>
    </row>
    <row r="5" spans="1:14" x14ac:dyDescent="0.2">
      <c r="A5">
        <v>8</v>
      </c>
      <c r="B5">
        <v>125.1</v>
      </c>
      <c r="C5">
        <v>31.8</v>
      </c>
      <c r="D5">
        <v>121.6</v>
      </c>
      <c r="E5">
        <v>31.2</v>
      </c>
      <c r="F5">
        <v>129.80000000000001</v>
      </c>
      <c r="G5">
        <v>20.5</v>
      </c>
      <c r="H5">
        <v>120</v>
      </c>
      <c r="I5">
        <v>19</v>
      </c>
      <c r="J5" s="1">
        <f t="shared" si="0"/>
        <v>0.60897435897435903</v>
      </c>
      <c r="K5">
        <v>1</v>
      </c>
      <c r="L5" s="1">
        <f t="shared" si="2"/>
        <v>0.97202238209432457</v>
      </c>
      <c r="M5" s="1">
        <f t="shared" si="3"/>
        <v>1.0375699440447643</v>
      </c>
      <c r="N5" s="1">
        <f t="shared" si="1"/>
        <v>0.95923261390887293</v>
      </c>
    </row>
    <row r="6" spans="1:14" x14ac:dyDescent="0.2">
      <c r="A6">
        <v>10</v>
      </c>
      <c r="B6">
        <v>139.9</v>
      </c>
      <c r="C6">
        <v>36.1</v>
      </c>
      <c r="D6">
        <v>134.69999999999999</v>
      </c>
      <c r="E6">
        <v>36.1</v>
      </c>
      <c r="F6">
        <v>147.4</v>
      </c>
      <c r="G6">
        <v>23.1</v>
      </c>
      <c r="H6">
        <v>134.4</v>
      </c>
      <c r="I6">
        <v>20.399999999999999</v>
      </c>
      <c r="J6" s="1">
        <f t="shared" si="0"/>
        <v>0.56509695290858719</v>
      </c>
      <c r="K6">
        <v>1</v>
      </c>
      <c r="L6" s="1">
        <f t="shared" si="2"/>
        <v>0.9628305932809148</v>
      </c>
      <c r="M6" s="1">
        <f t="shared" si="3"/>
        <v>1.0536097212294495</v>
      </c>
      <c r="N6" s="1">
        <f t="shared" si="1"/>
        <v>0.96068620443173691</v>
      </c>
    </row>
    <row r="7" spans="1:14" x14ac:dyDescent="0.2">
      <c r="A7">
        <v>12</v>
      </c>
      <c r="B7">
        <v>150.6</v>
      </c>
      <c r="C7">
        <v>41.9</v>
      </c>
      <c r="D7">
        <v>148.9</v>
      </c>
      <c r="E7">
        <v>41.4</v>
      </c>
      <c r="F7">
        <v>159.4</v>
      </c>
      <c r="G7">
        <v>25.5</v>
      </c>
      <c r="H7">
        <v>150.6</v>
      </c>
      <c r="I7">
        <v>23.1</v>
      </c>
      <c r="J7" s="1">
        <f t="shared" si="0"/>
        <v>0.55797101449275366</v>
      </c>
      <c r="K7">
        <v>1</v>
      </c>
      <c r="L7" s="1">
        <f t="shared" si="2"/>
        <v>0.98871181938911035</v>
      </c>
      <c r="M7" s="1">
        <f t="shared" si="3"/>
        <v>1.058432934926959</v>
      </c>
      <c r="N7" s="1">
        <f t="shared" si="1"/>
        <v>1</v>
      </c>
    </row>
    <row r="8" spans="1:14" x14ac:dyDescent="0.2">
      <c r="A8">
        <v>14</v>
      </c>
      <c r="B8">
        <v>160.9</v>
      </c>
      <c r="C8">
        <v>48.9</v>
      </c>
      <c r="D8">
        <v>158.19999999999999</v>
      </c>
      <c r="E8">
        <v>48.3</v>
      </c>
      <c r="F8">
        <v>169.3</v>
      </c>
      <c r="G8">
        <v>27.7</v>
      </c>
      <c r="H8">
        <v>161.9</v>
      </c>
      <c r="I8">
        <v>26.8</v>
      </c>
      <c r="J8" s="1">
        <f t="shared" si="0"/>
        <v>0.55486542443064191</v>
      </c>
      <c r="K8">
        <v>1</v>
      </c>
      <c r="L8" s="1">
        <f t="shared" si="2"/>
        <v>0.98321939092604094</v>
      </c>
      <c r="M8" s="1">
        <f t="shared" si="3"/>
        <v>1.0522063393412058</v>
      </c>
      <c r="N8" s="1">
        <f t="shared" si="1"/>
        <v>1.0062150403977626</v>
      </c>
    </row>
    <row r="9" spans="1:14" x14ac:dyDescent="0.2">
      <c r="A9">
        <v>16</v>
      </c>
      <c r="B9">
        <v>170</v>
      </c>
      <c r="C9">
        <v>54.1</v>
      </c>
      <c r="D9">
        <v>169.4</v>
      </c>
      <c r="E9">
        <v>53.8</v>
      </c>
      <c r="F9">
        <v>179.5</v>
      </c>
      <c r="G9">
        <v>30.6</v>
      </c>
      <c r="H9">
        <v>173.7</v>
      </c>
      <c r="I9">
        <v>28.3</v>
      </c>
      <c r="J9" s="1">
        <f t="shared" si="0"/>
        <v>0.52602230483271384</v>
      </c>
      <c r="K9">
        <v>1</v>
      </c>
      <c r="L9" s="1">
        <f t="shared" si="2"/>
        <v>0.99647058823529411</v>
      </c>
      <c r="M9" s="1">
        <f t="shared" si="3"/>
        <v>1.0558823529411765</v>
      </c>
      <c r="N9" s="1">
        <f t="shared" si="1"/>
        <v>1.0217647058823529</v>
      </c>
    </row>
    <row r="10" spans="1:14" x14ac:dyDescent="0.2">
      <c r="A10">
        <v>18</v>
      </c>
      <c r="B10">
        <v>179.2</v>
      </c>
      <c r="C10">
        <v>59.7</v>
      </c>
      <c r="D10">
        <v>176.2</v>
      </c>
      <c r="E10">
        <v>59.1</v>
      </c>
      <c r="F10">
        <v>190.2</v>
      </c>
      <c r="G10">
        <v>33.9</v>
      </c>
      <c r="H10">
        <v>183.2</v>
      </c>
      <c r="I10">
        <v>30.5</v>
      </c>
      <c r="J10" s="1">
        <f t="shared" si="0"/>
        <v>0.5160744500846024</v>
      </c>
      <c r="K10">
        <v>1</v>
      </c>
      <c r="L10" s="1">
        <f t="shared" si="2"/>
        <v>0.9832589285714286</v>
      </c>
      <c r="M10" s="1">
        <f t="shared" si="3"/>
        <v>1.0613839285714286</v>
      </c>
      <c r="N10" s="1">
        <f t="shared" si="1"/>
        <v>1.0223214285714286</v>
      </c>
    </row>
    <row r="11" spans="1:14" x14ac:dyDescent="0.2">
      <c r="A11">
        <v>20</v>
      </c>
      <c r="B11">
        <v>188.3</v>
      </c>
      <c r="C11">
        <v>67</v>
      </c>
      <c r="D11">
        <v>185.1</v>
      </c>
      <c r="E11">
        <v>66.400000000000006</v>
      </c>
      <c r="F11">
        <v>199.3</v>
      </c>
      <c r="G11">
        <v>36.6</v>
      </c>
      <c r="H11">
        <v>194.9</v>
      </c>
      <c r="I11">
        <v>36</v>
      </c>
      <c r="J11" s="1">
        <f t="shared" si="0"/>
        <v>0.54216867469879515</v>
      </c>
      <c r="K11">
        <v>1</v>
      </c>
      <c r="L11" s="1">
        <f t="shared" si="2"/>
        <v>0.98300584174190109</v>
      </c>
      <c r="M11" s="1">
        <f t="shared" si="3"/>
        <v>1.0584174190122146</v>
      </c>
      <c r="N11" s="1">
        <f t="shared" si="1"/>
        <v>1.0350504514073287</v>
      </c>
    </row>
    <row r="12" spans="1:14" x14ac:dyDescent="0.2">
      <c r="A12">
        <v>22</v>
      </c>
      <c r="B12">
        <v>193.9</v>
      </c>
      <c r="C12">
        <v>74.5</v>
      </c>
      <c r="D12">
        <v>192.2</v>
      </c>
      <c r="E12">
        <v>73.599999999999994</v>
      </c>
      <c r="F12">
        <v>209.3</v>
      </c>
      <c r="G12">
        <v>39.6</v>
      </c>
      <c r="H12">
        <v>202.1</v>
      </c>
      <c r="I12">
        <v>37.9</v>
      </c>
      <c r="J12" s="1">
        <f t="shared" si="0"/>
        <v>0.51494565217391308</v>
      </c>
      <c r="K12">
        <v>1</v>
      </c>
      <c r="L12" s="1">
        <f t="shared" si="2"/>
        <v>0.99123259412068065</v>
      </c>
      <c r="M12" s="1">
        <f t="shared" si="3"/>
        <v>1.0794223826714802</v>
      </c>
      <c r="N12" s="1">
        <f t="shared" si="1"/>
        <v>1.042289840123775</v>
      </c>
    </row>
    <row r="13" spans="1:14" x14ac:dyDescent="0.2">
      <c r="A13">
        <v>24</v>
      </c>
      <c r="B13">
        <v>202.7</v>
      </c>
      <c r="C13">
        <v>85.1</v>
      </c>
      <c r="D13">
        <v>200.9</v>
      </c>
      <c r="E13">
        <v>85.3</v>
      </c>
      <c r="F13">
        <v>217</v>
      </c>
      <c r="G13">
        <v>45.3</v>
      </c>
      <c r="H13">
        <v>213.2</v>
      </c>
      <c r="I13">
        <v>44.5</v>
      </c>
      <c r="J13" s="1">
        <f t="shared" si="0"/>
        <v>0.5216881594372802</v>
      </c>
      <c r="K13">
        <v>1</v>
      </c>
      <c r="L13" s="1">
        <f t="shared" si="2"/>
        <v>0.99111988159842135</v>
      </c>
      <c r="M13" s="1">
        <f t="shared" si="3"/>
        <v>1.0705476073014308</v>
      </c>
      <c r="N13" s="1">
        <f t="shared" si="1"/>
        <v>1.0518006906758757</v>
      </c>
    </row>
    <row r="14" spans="1:14" x14ac:dyDescent="0.2">
      <c r="A14">
        <v>26</v>
      </c>
      <c r="B14">
        <v>209</v>
      </c>
      <c r="C14">
        <v>93.1</v>
      </c>
      <c r="D14">
        <v>206.4</v>
      </c>
      <c r="E14">
        <v>92.7</v>
      </c>
      <c r="F14">
        <v>225.7</v>
      </c>
      <c r="G14">
        <v>49.6</v>
      </c>
      <c r="H14">
        <v>220.7</v>
      </c>
      <c r="I14">
        <v>48.2</v>
      </c>
      <c r="J14" s="1">
        <f t="shared" si="0"/>
        <v>0.51995685005393744</v>
      </c>
      <c r="K14">
        <v>1</v>
      </c>
      <c r="L14" s="1">
        <f t="shared" si="2"/>
        <v>0.98755980861244019</v>
      </c>
      <c r="M14" s="1">
        <f t="shared" si="3"/>
        <v>1.0799043062200957</v>
      </c>
      <c r="N14" s="1">
        <f t="shared" si="1"/>
        <v>1.0559808612440191</v>
      </c>
    </row>
    <row r="15" spans="1:14" x14ac:dyDescent="0.2">
      <c r="A15">
        <v>28</v>
      </c>
      <c r="B15">
        <v>215.5</v>
      </c>
      <c r="C15">
        <v>101.5</v>
      </c>
      <c r="D15">
        <v>215.3</v>
      </c>
      <c r="E15">
        <v>102.3</v>
      </c>
      <c r="F15">
        <v>232.3</v>
      </c>
      <c r="G15">
        <v>52.9</v>
      </c>
      <c r="H15">
        <v>228.4</v>
      </c>
      <c r="I15">
        <v>52.1</v>
      </c>
      <c r="J15" s="1">
        <f t="shared" si="0"/>
        <v>0.50928641251221896</v>
      </c>
      <c r="K15">
        <v>1</v>
      </c>
      <c r="L15" s="1">
        <f t="shared" si="2"/>
        <v>0.99907192575406034</v>
      </c>
      <c r="M15" s="1">
        <f t="shared" si="3"/>
        <v>1.0779582366589329</v>
      </c>
      <c r="N15" s="1">
        <f t="shared" si="1"/>
        <v>1.0598607888631091</v>
      </c>
    </row>
    <row r="16" spans="1:14" x14ac:dyDescent="0.2">
      <c r="A16">
        <v>30</v>
      </c>
      <c r="B16">
        <v>223.3</v>
      </c>
      <c r="C16">
        <v>109.9</v>
      </c>
      <c r="D16">
        <v>222</v>
      </c>
      <c r="E16">
        <v>110.1</v>
      </c>
      <c r="F16">
        <v>242</v>
      </c>
      <c r="G16">
        <v>57.9</v>
      </c>
      <c r="H16">
        <v>237.1</v>
      </c>
      <c r="I16">
        <v>55.5</v>
      </c>
      <c r="J16" s="1">
        <f t="shared" si="0"/>
        <v>0.50408719346049047</v>
      </c>
      <c r="K16">
        <v>1</v>
      </c>
      <c r="L16" s="1">
        <f t="shared" si="2"/>
        <v>0.99417823555754581</v>
      </c>
      <c r="M16" s="1">
        <f t="shared" si="3"/>
        <v>1.083743842364532</v>
      </c>
      <c r="N16" s="1">
        <f t="shared" si="1"/>
        <v>1.0618002686968204</v>
      </c>
    </row>
    <row r="17" spans="1:14" x14ac:dyDescent="0.2">
      <c r="A17">
        <v>32</v>
      </c>
      <c r="B17">
        <v>228.5</v>
      </c>
      <c r="C17">
        <v>116.2</v>
      </c>
      <c r="D17">
        <v>229.6</v>
      </c>
      <c r="E17">
        <v>115.7</v>
      </c>
      <c r="F17">
        <v>249.8</v>
      </c>
      <c r="G17">
        <v>60.3</v>
      </c>
      <c r="H17">
        <v>245.7</v>
      </c>
      <c r="I17">
        <v>57.8</v>
      </c>
      <c r="J17" s="1">
        <f t="shared" si="0"/>
        <v>0.49956784788245456</v>
      </c>
      <c r="K17">
        <v>1</v>
      </c>
      <c r="L17" s="1">
        <f t="shared" si="2"/>
        <v>1.0048140043763676</v>
      </c>
      <c r="M17" s="1">
        <f t="shared" si="3"/>
        <v>1.0932166301969366</v>
      </c>
      <c r="N17" s="1">
        <f t="shared" si="1"/>
        <v>1.0752735229759298</v>
      </c>
    </row>
    <row r="18" spans="1:14" x14ac:dyDescent="0.2">
      <c r="A18">
        <v>34</v>
      </c>
      <c r="B18">
        <v>237.1</v>
      </c>
      <c r="C18">
        <v>122</v>
      </c>
      <c r="D18">
        <v>235.7</v>
      </c>
      <c r="E18">
        <v>121</v>
      </c>
      <c r="F18">
        <v>261</v>
      </c>
      <c r="G18">
        <v>63.6</v>
      </c>
      <c r="H18">
        <v>255.1</v>
      </c>
      <c r="I18">
        <v>62.1</v>
      </c>
      <c r="J18" s="1">
        <f t="shared" si="0"/>
        <v>0.51322314049586781</v>
      </c>
      <c r="K18">
        <v>1</v>
      </c>
      <c r="L18" s="1">
        <f t="shared" si="2"/>
        <v>0.99409531843104171</v>
      </c>
      <c r="M18" s="1">
        <f t="shared" si="3"/>
        <v>1.1008013496415014</v>
      </c>
      <c r="N18" s="1">
        <f t="shared" si="1"/>
        <v>1.0759173344580346</v>
      </c>
    </row>
    <row r="19" spans="1:14" x14ac:dyDescent="0.2">
      <c r="A19">
        <v>36</v>
      </c>
      <c r="B19">
        <v>243.9</v>
      </c>
      <c r="C19">
        <v>130.9</v>
      </c>
      <c r="D19">
        <v>243.3</v>
      </c>
      <c r="E19">
        <v>131.30000000000001</v>
      </c>
      <c r="F19">
        <v>266.2</v>
      </c>
      <c r="G19">
        <v>67.599999999999994</v>
      </c>
      <c r="H19">
        <v>263.5</v>
      </c>
      <c r="I19">
        <v>67.2</v>
      </c>
      <c r="J19" s="1">
        <f t="shared" si="0"/>
        <v>0.51180502665651173</v>
      </c>
      <c r="K19">
        <v>1</v>
      </c>
      <c r="L19" s="1">
        <f t="shared" si="2"/>
        <v>0.99753997539975403</v>
      </c>
      <c r="M19" s="1">
        <f t="shared" si="3"/>
        <v>1.091430914309143</v>
      </c>
      <c r="N19" s="1">
        <f t="shared" si="1"/>
        <v>1.0803608036080361</v>
      </c>
    </row>
    <row r="20" spans="1:14" x14ac:dyDescent="0.2">
      <c r="A20">
        <v>38</v>
      </c>
      <c r="B20">
        <v>252</v>
      </c>
      <c r="C20">
        <v>139.4</v>
      </c>
      <c r="D20">
        <v>251.2</v>
      </c>
      <c r="E20">
        <v>138.80000000000001</v>
      </c>
      <c r="F20">
        <v>275.60000000000002</v>
      </c>
      <c r="G20">
        <v>73.5</v>
      </c>
      <c r="H20">
        <v>270.39999999999998</v>
      </c>
      <c r="I20">
        <v>71.2</v>
      </c>
      <c r="J20" s="1">
        <f t="shared" si="0"/>
        <v>0.51296829971181557</v>
      </c>
      <c r="K20">
        <v>1</v>
      </c>
      <c r="L20" s="1">
        <f t="shared" si="2"/>
        <v>0.99682539682539673</v>
      </c>
      <c r="M20" s="1">
        <f t="shared" si="3"/>
        <v>1.0936507936507938</v>
      </c>
      <c r="N20" s="1">
        <f t="shared" si="1"/>
        <v>1.073015873015873</v>
      </c>
    </row>
    <row r="21" spans="1:14" x14ac:dyDescent="0.2">
      <c r="A21">
        <v>40</v>
      </c>
      <c r="B21">
        <v>256.89999999999998</v>
      </c>
      <c r="C21">
        <v>148.80000000000001</v>
      </c>
      <c r="D21">
        <v>256.8</v>
      </c>
      <c r="E21">
        <v>147.69999999999999</v>
      </c>
      <c r="F21">
        <v>283.2</v>
      </c>
      <c r="G21">
        <v>78.3</v>
      </c>
      <c r="H21">
        <v>280.10000000000002</v>
      </c>
      <c r="I21">
        <v>75.599999999999994</v>
      </c>
      <c r="J21" s="1">
        <f t="shared" si="0"/>
        <v>0.51184834123222744</v>
      </c>
      <c r="K21">
        <v>1</v>
      </c>
      <c r="L21" s="1">
        <f t="shared" si="2"/>
        <v>0.99961074347995338</v>
      </c>
      <c r="M21" s="1">
        <f t="shared" si="3"/>
        <v>1.1023744647722851</v>
      </c>
      <c r="N21" s="1">
        <f t="shared" si="1"/>
        <v>1.090307512650837</v>
      </c>
    </row>
    <row r="22" spans="1:14" x14ac:dyDescent="0.2">
      <c r="A22">
        <v>60</v>
      </c>
      <c r="B22">
        <v>329.4</v>
      </c>
      <c r="C22">
        <v>258.2</v>
      </c>
      <c r="D22">
        <v>327.8</v>
      </c>
      <c r="E22">
        <v>256.7</v>
      </c>
      <c r="F22">
        <v>367.5</v>
      </c>
      <c r="G22">
        <v>138.80000000000001</v>
      </c>
      <c r="H22">
        <v>362.5</v>
      </c>
      <c r="I22">
        <v>134.69999999999999</v>
      </c>
      <c r="J22" s="1">
        <f t="shared" si="0"/>
        <v>0.52473704713673541</v>
      </c>
      <c r="K22">
        <v>1</v>
      </c>
      <c r="L22" s="1">
        <f t="shared" si="2"/>
        <v>0.99514268366727399</v>
      </c>
      <c r="M22" s="1">
        <f t="shared" si="3"/>
        <v>1.115664845173042</v>
      </c>
      <c r="N22" s="1">
        <f t="shared" si="1"/>
        <v>1.1004857316332728</v>
      </c>
    </row>
    <row r="23" spans="1:14" x14ac:dyDescent="0.2">
      <c r="A23">
        <v>80</v>
      </c>
      <c r="B23">
        <v>399.6</v>
      </c>
      <c r="C23">
        <v>425.8</v>
      </c>
      <c r="D23">
        <v>399.3</v>
      </c>
      <c r="E23">
        <v>420.3</v>
      </c>
      <c r="F23">
        <v>446.4</v>
      </c>
      <c r="G23">
        <v>231.7</v>
      </c>
      <c r="H23">
        <v>442.6</v>
      </c>
      <c r="I23">
        <v>228.2</v>
      </c>
      <c r="J23" s="1">
        <f t="shared" si="0"/>
        <v>0.54294551510825595</v>
      </c>
      <c r="K23">
        <v>1</v>
      </c>
      <c r="L23" s="1">
        <f t="shared" si="2"/>
        <v>0.99924924924924918</v>
      </c>
      <c r="M23" s="1">
        <f t="shared" si="3"/>
        <v>1.117117117117117</v>
      </c>
      <c r="N23" s="1">
        <f t="shared" si="1"/>
        <v>1.1076076076076076</v>
      </c>
    </row>
    <row r="24" spans="1:14" x14ac:dyDescent="0.2">
      <c r="A24">
        <v>100</v>
      </c>
      <c r="B24">
        <v>467.4</v>
      </c>
      <c r="C24">
        <v>594.6</v>
      </c>
      <c r="D24">
        <v>471.6</v>
      </c>
      <c r="E24">
        <v>584.79999999999995</v>
      </c>
      <c r="F24">
        <v>529.70000000000005</v>
      </c>
      <c r="G24">
        <v>326.89999999999998</v>
      </c>
      <c r="H24">
        <v>523.20000000000005</v>
      </c>
      <c r="I24">
        <v>323.7</v>
      </c>
      <c r="J24" s="1">
        <f t="shared" si="0"/>
        <v>0.55352257181942544</v>
      </c>
      <c r="K24">
        <v>1</v>
      </c>
      <c r="L24" s="1">
        <f t="shared" si="2"/>
        <v>1.0089858793324777</v>
      </c>
      <c r="M24" s="1">
        <f t="shared" si="3"/>
        <v>1.1332905434317502</v>
      </c>
      <c r="N24" s="1">
        <f t="shared" si="1"/>
        <v>1.1193838254172017</v>
      </c>
    </row>
    <row r="25" spans="1:14" x14ac:dyDescent="0.2">
      <c r="A25">
        <v>120</v>
      </c>
      <c r="B25">
        <v>542.20000000000005</v>
      </c>
      <c r="C25">
        <v>834.2</v>
      </c>
      <c r="D25">
        <v>544.29999999999995</v>
      </c>
      <c r="E25">
        <v>823.3</v>
      </c>
      <c r="F25">
        <v>611.79999999999995</v>
      </c>
      <c r="G25">
        <v>463.2</v>
      </c>
      <c r="H25">
        <v>604.79999999999995</v>
      </c>
      <c r="I25">
        <v>457.3</v>
      </c>
      <c r="J25" s="1">
        <f t="shared" si="0"/>
        <v>0.55544758897121349</v>
      </c>
      <c r="K25">
        <v>1</v>
      </c>
      <c r="L25" s="1">
        <f t="shared" si="2"/>
        <v>1.0038731095536702</v>
      </c>
      <c r="M25" s="1">
        <f t="shared" si="3"/>
        <v>1.1283659166359274</v>
      </c>
      <c r="N25" s="1">
        <f t="shared" si="1"/>
        <v>1.1154555514570268</v>
      </c>
    </row>
    <row r="26" spans="1:14" x14ac:dyDescent="0.2">
      <c r="A26">
        <v>140</v>
      </c>
      <c r="B26">
        <v>613.6</v>
      </c>
      <c r="C26">
        <v>11516.9</v>
      </c>
      <c r="D26">
        <v>610.20000000000005</v>
      </c>
      <c r="E26">
        <v>5767.2</v>
      </c>
      <c r="F26">
        <v>690.5</v>
      </c>
      <c r="G26">
        <v>9973.6</v>
      </c>
      <c r="H26">
        <v>687.5</v>
      </c>
      <c r="I26">
        <v>626.20000000000005</v>
      </c>
      <c r="J26" s="1">
        <f t="shared" si="0"/>
        <v>0.10857955333610765</v>
      </c>
      <c r="K26">
        <v>1</v>
      </c>
      <c r="L26" s="1">
        <f t="shared" si="2"/>
        <v>0.99445893089960891</v>
      </c>
      <c r="M26" s="1">
        <f t="shared" si="3"/>
        <v>1.1253259452411994</v>
      </c>
      <c r="N26" s="1">
        <f t="shared" si="1"/>
        <v>1.1204367666232073</v>
      </c>
    </row>
    <row r="27" spans="1:14" x14ac:dyDescent="0.2">
      <c r="A27">
        <v>160</v>
      </c>
      <c r="B27">
        <v>684.1</v>
      </c>
      <c r="C27">
        <v>15456.6</v>
      </c>
      <c r="D27">
        <v>684</v>
      </c>
      <c r="E27">
        <v>15702.7</v>
      </c>
      <c r="F27">
        <v>766.1</v>
      </c>
      <c r="G27">
        <v>23649.1</v>
      </c>
      <c r="H27">
        <v>764.8</v>
      </c>
      <c r="I27">
        <v>18709.599999999999</v>
      </c>
      <c r="J27" s="1">
        <f t="shared" si="0"/>
        <v>1.1914893617021276</v>
      </c>
      <c r="K27">
        <v>1</v>
      </c>
      <c r="L27" s="1">
        <f t="shared" si="2"/>
        <v>0.99985382254056421</v>
      </c>
      <c r="M27" s="1">
        <f t="shared" si="3"/>
        <v>1.119865516737319</v>
      </c>
      <c r="N27" s="1">
        <f t="shared" si="1"/>
        <v>1.1179652097646542</v>
      </c>
    </row>
    <row r="28" spans="1:14" x14ac:dyDescent="0.2">
      <c r="A28">
        <v>180</v>
      </c>
      <c r="B28">
        <v>750.6</v>
      </c>
      <c r="C28">
        <v>8375.2999999999993</v>
      </c>
      <c r="D28">
        <v>758</v>
      </c>
      <c r="E28">
        <v>16101.5</v>
      </c>
      <c r="F28">
        <v>847</v>
      </c>
      <c r="G28">
        <v>1030.3</v>
      </c>
      <c r="H28">
        <v>843.7</v>
      </c>
      <c r="I28">
        <v>1025.3</v>
      </c>
      <c r="J28" s="1">
        <f t="shared" si="0"/>
        <v>6.3677297146228606E-2</v>
      </c>
      <c r="K28">
        <v>1</v>
      </c>
      <c r="L28" s="1">
        <f t="shared" si="2"/>
        <v>1.0098587796429523</v>
      </c>
      <c r="M28" s="1">
        <f t="shared" si="3"/>
        <v>1.1284305888622435</v>
      </c>
      <c r="N28" s="1">
        <f t="shared" si="1"/>
        <v>1.1240341060484946</v>
      </c>
    </row>
    <row r="29" spans="1:14" x14ac:dyDescent="0.2">
      <c r="A29">
        <v>200</v>
      </c>
      <c r="B29">
        <v>824.2</v>
      </c>
      <c r="C29">
        <v>6707.7</v>
      </c>
      <c r="D29">
        <v>825</v>
      </c>
      <c r="E29">
        <v>7988.3</v>
      </c>
      <c r="F29">
        <v>925.4</v>
      </c>
      <c r="G29">
        <v>5830.4</v>
      </c>
      <c r="H29">
        <v>921.7</v>
      </c>
      <c r="I29">
        <v>7384.9</v>
      </c>
      <c r="J29" s="1">
        <f t="shared" si="0"/>
        <v>0.92446452937420975</v>
      </c>
      <c r="K29">
        <v>1</v>
      </c>
      <c r="L29" s="1">
        <f t="shared" si="2"/>
        <v>1.0009706381946128</v>
      </c>
      <c r="M29" s="1">
        <f t="shared" si="3"/>
        <v>1.122785731618539</v>
      </c>
      <c r="N29" s="1">
        <f t="shared" si="1"/>
        <v>1.1182965299684542</v>
      </c>
    </row>
    <row r="30" spans="1:14" x14ac:dyDescent="0.2">
      <c r="A30">
        <v>300</v>
      </c>
      <c r="B30">
        <v>1183</v>
      </c>
      <c r="C30">
        <v>4392.2</v>
      </c>
      <c r="D30">
        <v>1184.4000000000001</v>
      </c>
      <c r="E30">
        <v>4322.3</v>
      </c>
      <c r="F30">
        <v>1320.6</v>
      </c>
      <c r="G30">
        <v>2341.1</v>
      </c>
      <c r="H30">
        <v>1318.5</v>
      </c>
      <c r="I30">
        <v>2313.8000000000002</v>
      </c>
      <c r="J30" s="1">
        <f t="shared" si="0"/>
        <v>0.53531684519815836</v>
      </c>
      <c r="K30">
        <v>1</v>
      </c>
      <c r="L30" s="1">
        <f t="shared" si="2"/>
        <v>1.0011834319526629</v>
      </c>
      <c r="M30" s="1">
        <f t="shared" si="3"/>
        <v>1.1163144547759931</v>
      </c>
      <c r="N30" s="1">
        <f t="shared" si="1"/>
        <v>1.1145393068469991</v>
      </c>
    </row>
    <row r="31" spans="1:14" x14ac:dyDescent="0.2">
      <c r="A31">
        <v>400</v>
      </c>
      <c r="B31">
        <v>1523.2</v>
      </c>
      <c r="C31">
        <v>9146.5</v>
      </c>
      <c r="D31">
        <v>1540.7</v>
      </c>
      <c r="E31">
        <v>8857.5</v>
      </c>
      <c r="F31">
        <v>1699.5</v>
      </c>
      <c r="G31">
        <v>4526.1000000000004</v>
      </c>
      <c r="H31">
        <v>1695.7</v>
      </c>
      <c r="I31">
        <v>4556.1000000000004</v>
      </c>
      <c r="J31" s="1">
        <f t="shared" si="0"/>
        <v>0.51437764606265879</v>
      </c>
      <c r="K31">
        <v>1</v>
      </c>
      <c r="L31" s="1">
        <f t="shared" si="2"/>
        <v>1.0114889705882353</v>
      </c>
      <c r="M31" s="1">
        <f t="shared" si="3"/>
        <v>1.1157431722689075</v>
      </c>
      <c r="N31" s="1">
        <f t="shared" si="1"/>
        <v>1.1132484243697478</v>
      </c>
    </row>
    <row r="32" spans="1:14" x14ac:dyDescent="0.2">
      <c r="A32">
        <v>500</v>
      </c>
      <c r="B32">
        <v>1885.2</v>
      </c>
      <c r="C32">
        <v>13599.9</v>
      </c>
      <c r="D32">
        <v>1888.3</v>
      </c>
      <c r="E32">
        <v>13327</v>
      </c>
      <c r="F32">
        <v>2089.8000000000002</v>
      </c>
      <c r="G32">
        <v>6381.9</v>
      </c>
      <c r="H32">
        <v>2084.9</v>
      </c>
      <c r="I32">
        <v>6414.5</v>
      </c>
      <c r="J32" s="1">
        <f t="shared" si="0"/>
        <v>0.48131612515945071</v>
      </c>
      <c r="K32">
        <v>1</v>
      </c>
      <c r="L32" s="1">
        <f t="shared" si="2"/>
        <v>1.0016443878633565</v>
      </c>
      <c r="M32" s="1">
        <f t="shared" si="3"/>
        <v>1.1085295989815405</v>
      </c>
      <c r="N32" s="1">
        <f t="shared" si="1"/>
        <v>1.1059304052620411</v>
      </c>
    </row>
    <row r="33" spans="1:14" x14ac:dyDescent="0.2">
      <c r="A33">
        <v>600</v>
      </c>
      <c r="B33">
        <v>2226.5</v>
      </c>
      <c r="C33">
        <v>19205.599999999999</v>
      </c>
      <c r="D33">
        <v>2253.4</v>
      </c>
      <c r="E33">
        <v>18763.400000000001</v>
      </c>
      <c r="F33">
        <v>2462.1999999999998</v>
      </c>
      <c r="G33">
        <v>8506.1</v>
      </c>
      <c r="H33">
        <v>2457.3000000000002</v>
      </c>
      <c r="I33">
        <v>8471</v>
      </c>
      <c r="J33" s="1">
        <f t="shared" si="0"/>
        <v>0.45146402038010164</v>
      </c>
      <c r="K33">
        <v>1</v>
      </c>
      <c r="L33" s="1">
        <f t="shared" si="2"/>
        <v>1.0120817426454076</v>
      </c>
      <c r="M33" s="1">
        <f t="shared" si="3"/>
        <v>1.1058612171569728</v>
      </c>
      <c r="N33" s="1">
        <f t="shared" si="1"/>
        <v>1.1036604536267685</v>
      </c>
    </row>
    <row r="34" spans="1:14" x14ac:dyDescent="0.2">
      <c r="A34">
        <v>700</v>
      </c>
      <c r="B34">
        <v>2594.3000000000002</v>
      </c>
      <c r="C34">
        <v>27234.799999999999</v>
      </c>
      <c r="D34">
        <v>2614.6</v>
      </c>
      <c r="E34">
        <v>26778</v>
      </c>
      <c r="F34">
        <v>2836.6</v>
      </c>
      <c r="G34">
        <v>11528.9</v>
      </c>
      <c r="H34">
        <v>2834.1</v>
      </c>
      <c r="I34">
        <v>11470.1</v>
      </c>
      <c r="J34" s="1">
        <f t="shared" si="0"/>
        <v>0.42834042871013522</v>
      </c>
      <c r="K34">
        <v>1</v>
      </c>
      <c r="L34" s="1">
        <f t="shared" si="2"/>
        <v>1.0078248467794779</v>
      </c>
      <c r="M34" s="1">
        <f t="shared" si="3"/>
        <v>1.0933970627915044</v>
      </c>
      <c r="N34" s="1">
        <f t="shared" si="1"/>
        <v>1.0924334117102878</v>
      </c>
    </row>
    <row r="35" spans="1:14" x14ac:dyDescent="0.2">
      <c r="A35">
        <v>800</v>
      </c>
      <c r="B35">
        <v>2942.8</v>
      </c>
      <c r="C35">
        <v>39816.6</v>
      </c>
      <c r="D35">
        <v>2950.7</v>
      </c>
      <c r="E35">
        <v>38827.699999999997</v>
      </c>
      <c r="F35">
        <v>3213</v>
      </c>
      <c r="G35">
        <v>15797.1</v>
      </c>
      <c r="H35">
        <v>3207.6</v>
      </c>
      <c r="I35">
        <v>15867.4</v>
      </c>
      <c r="J35" s="1">
        <f t="shared" si="0"/>
        <v>0.40866185738532029</v>
      </c>
      <c r="K35">
        <v>1</v>
      </c>
      <c r="L35" s="1">
        <f t="shared" si="2"/>
        <v>1.0026845181459834</v>
      </c>
      <c r="M35" s="1">
        <f t="shared" si="3"/>
        <v>1.0918173168411036</v>
      </c>
      <c r="N35" s="1">
        <f t="shared" si="1"/>
        <v>1.0899823297539757</v>
      </c>
    </row>
    <row r="36" spans="1:14" x14ac:dyDescent="0.2">
      <c r="A36">
        <v>900</v>
      </c>
      <c r="J36" s="1" t="e">
        <f t="shared" si="0"/>
        <v>#DIV/0!</v>
      </c>
      <c r="K36">
        <v>1</v>
      </c>
      <c r="L36" s="1" t="e">
        <f t="shared" si="2"/>
        <v>#DIV/0!</v>
      </c>
      <c r="M36" s="1" t="e">
        <f t="shared" si="3"/>
        <v>#DIV/0!</v>
      </c>
      <c r="N36" s="1" t="e">
        <f t="shared" si="1"/>
        <v>#DIV/0!</v>
      </c>
    </row>
    <row r="37" spans="1:14" x14ac:dyDescent="0.2">
      <c r="A37">
        <v>1000</v>
      </c>
      <c r="J37" s="1" t="e">
        <f t="shared" si="0"/>
        <v>#DIV/0!</v>
      </c>
      <c r="K37">
        <v>1</v>
      </c>
      <c r="L37" s="1" t="e">
        <f t="shared" si="2"/>
        <v>#DIV/0!</v>
      </c>
      <c r="M37" s="1" t="e">
        <f t="shared" si="3"/>
        <v>#DIV/0!</v>
      </c>
      <c r="N37" s="1" t="e">
        <f t="shared" si="1"/>
        <v>#DIV/0!</v>
      </c>
    </row>
    <row r="38" spans="1:14" x14ac:dyDescent="0.2">
      <c r="A38">
        <v>1100</v>
      </c>
      <c r="J38" s="1" t="e">
        <f t="shared" si="0"/>
        <v>#DIV/0!</v>
      </c>
      <c r="K38">
        <v>1</v>
      </c>
      <c r="L38" s="1" t="e">
        <f t="shared" si="2"/>
        <v>#DIV/0!</v>
      </c>
      <c r="M38" s="1" t="e">
        <f t="shared" si="3"/>
        <v>#DIV/0!</v>
      </c>
      <c r="N38" s="1" t="e">
        <f t="shared" si="1"/>
        <v>#DIV/0!</v>
      </c>
    </row>
    <row r="39" spans="1:14" x14ac:dyDescent="0.2">
      <c r="A39">
        <v>1200</v>
      </c>
      <c r="J39" s="1" t="e">
        <f t="shared" si="0"/>
        <v>#DIV/0!</v>
      </c>
      <c r="K39">
        <v>1</v>
      </c>
      <c r="L39" s="1" t="e">
        <f t="shared" si="2"/>
        <v>#DIV/0!</v>
      </c>
      <c r="M39" s="1" t="e">
        <f t="shared" si="3"/>
        <v>#DIV/0!</v>
      </c>
      <c r="N39" s="1" t="e">
        <f t="shared" si="1"/>
        <v>#DIV/0!</v>
      </c>
    </row>
    <row r="40" spans="1:14" x14ac:dyDescent="0.2">
      <c r="A40">
        <v>1300</v>
      </c>
      <c r="J40" s="1" t="e">
        <f t="shared" si="0"/>
        <v>#DIV/0!</v>
      </c>
      <c r="K40">
        <v>1</v>
      </c>
      <c r="L40" s="1" t="e">
        <f t="shared" si="2"/>
        <v>#DIV/0!</v>
      </c>
      <c r="M40" s="1" t="e">
        <f t="shared" si="3"/>
        <v>#DIV/0!</v>
      </c>
      <c r="N40" s="1" t="e">
        <f t="shared" si="1"/>
        <v>#DIV/0!</v>
      </c>
    </row>
    <row r="41" spans="1:14" x14ac:dyDescent="0.2">
      <c r="A41">
        <v>1400</v>
      </c>
      <c r="J41" s="1" t="e">
        <f t="shared" si="0"/>
        <v>#DIV/0!</v>
      </c>
      <c r="K41">
        <v>1</v>
      </c>
      <c r="L41" s="1" t="e">
        <f t="shared" si="2"/>
        <v>#DIV/0!</v>
      </c>
      <c r="M41" s="1" t="e">
        <f t="shared" si="3"/>
        <v>#DIV/0!</v>
      </c>
      <c r="N41" s="1" t="e">
        <f t="shared" si="1"/>
        <v>#DIV/0!</v>
      </c>
    </row>
    <row r="42" spans="1:14" x14ac:dyDescent="0.2">
      <c r="A42">
        <v>1500</v>
      </c>
      <c r="J42" s="1" t="e">
        <f t="shared" si="0"/>
        <v>#DIV/0!</v>
      </c>
      <c r="K42">
        <v>1</v>
      </c>
      <c r="L42" s="1" t="e">
        <f t="shared" si="2"/>
        <v>#DIV/0!</v>
      </c>
      <c r="M42" s="1" t="e">
        <f t="shared" si="3"/>
        <v>#DIV/0!</v>
      </c>
      <c r="N42" s="1" t="e">
        <f t="shared" si="1"/>
        <v>#DIV/0!</v>
      </c>
    </row>
    <row r="43" spans="1:14" x14ac:dyDescent="0.2">
      <c r="A43">
        <v>1600</v>
      </c>
      <c r="J43" s="1" t="e">
        <f t="shared" si="0"/>
        <v>#DIV/0!</v>
      </c>
      <c r="K43">
        <v>1</v>
      </c>
      <c r="L43" s="1" t="e">
        <f t="shared" si="2"/>
        <v>#DIV/0!</v>
      </c>
      <c r="M43" s="1" t="e">
        <f t="shared" si="3"/>
        <v>#DIV/0!</v>
      </c>
      <c r="N43" s="1" t="e">
        <f t="shared" si="1"/>
        <v>#DIV/0!</v>
      </c>
    </row>
    <row r="44" spans="1:14" x14ac:dyDescent="0.2">
      <c r="A44">
        <v>1700</v>
      </c>
      <c r="J44" s="1" t="e">
        <f t="shared" si="0"/>
        <v>#DIV/0!</v>
      </c>
      <c r="K44">
        <v>1</v>
      </c>
      <c r="L44" s="1" t="e">
        <f t="shared" si="2"/>
        <v>#DIV/0!</v>
      </c>
      <c r="M44" s="1" t="e">
        <f t="shared" si="3"/>
        <v>#DIV/0!</v>
      </c>
      <c r="N44" s="1" t="e">
        <f t="shared" si="1"/>
        <v>#DIV/0!</v>
      </c>
    </row>
    <row r="45" spans="1:14" x14ac:dyDescent="0.2">
      <c r="A45">
        <v>1800</v>
      </c>
      <c r="J45" s="1" t="e">
        <f t="shared" si="0"/>
        <v>#DIV/0!</v>
      </c>
      <c r="K45">
        <v>1</v>
      </c>
      <c r="L45" s="1" t="e">
        <f t="shared" si="2"/>
        <v>#DIV/0!</v>
      </c>
      <c r="M45" s="1" t="e">
        <f t="shared" si="3"/>
        <v>#DIV/0!</v>
      </c>
      <c r="N45" s="1" t="e">
        <f t="shared" si="1"/>
        <v>#DIV/0!</v>
      </c>
    </row>
    <row r="46" spans="1:14" x14ac:dyDescent="0.2">
      <c r="A46">
        <v>1900</v>
      </c>
      <c r="J46" s="1"/>
      <c r="K46">
        <v>1</v>
      </c>
      <c r="L46" s="1" t="e">
        <f t="shared" si="2"/>
        <v>#DIV/0!</v>
      </c>
      <c r="M46" s="1" t="e">
        <f t="shared" si="3"/>
        <v>#DIV/0!</v>
      </c>
      <c r="N46" s="1" t="e">
        <f t="shared" si="1"/>
        <v>#DIV/0!</v>
      </c>
    </row>
    <row r="47" spans="1:14" x14ac:dyDescent="0.2">
      <c r="L47" s="1"/>
      <c r="M47" s="1"/>
      <c r="N47" s="1"/>
    </row>
    <row r="48" spans="1:14" x14ac:dyDescent="0.2">
      <c r="L48" s="1"/>
      <c r="M48" s="1"/>
      <c r="N48" s="1"/>
    </row>
    <row r="49" spans="12:14" x14ac:dyDescent="0.2">
      <c r="L49" s="1"/>
      <c r="M49" s="1"/>
      <c r="N49" s="1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C0165-7B09-2442-A9D2-BF39681A36D2}">
  <dimension ref="A1:N46"/>
  <sheetViews>
    <sheetView workbookViewId="0">
      <selection activeCell="J34" sqref="J34:J3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75.8</v>
      </c>
      <c r="C2">
        <v>14.1</v>
      </c>
      <c r="D2">
        <v>65.5</v>
      </c>
      <c r="E2">
        <v>12.5</v>
      </c>
      <c r="F2">
        <v>96.9</v>
      </c>
      <c r="G2">
        <v>12.6</v>
      </c>
      <c r="H2">
        <v>65.5</v>
      </c>
      <c r="I2">
        <v>10.8</v>
      </c>
      <c r="J2" s="1">
        <f t="shared" ref="J2:J37" si="0">I2/E2</f>
        <v>0.8640000000000001</v>
      </c>
      <c r="K2">
        <v>1</v>
      </c>
      <c r="L2" s="1">
        <f t="shared" ref="L2:L29" si="1">D2/B2</f>
        <v>0.86411609498680741</v>
      </c>
      <c r="M2" s="1">
        <f t="shared" ref="M2:M29" si="2">F2/B2</f>
        <v>1.278364116094987</v>
      </c>
      <c r="N2" s="1">
        <f t="shared" ref="N2:N29" si="3">H2/B2</f>
        <v>0.86411609498680741</v>
      </c>
    </row>
    <row r="3" spans="1:14" x14ac:dyDescent="0.2">
      <c r="A3">
        <v>4</v>
      </c>
      <c r="B3">
        <v>144.19999999999999</v>
      </c>
      <c r="C3">
        <v>20.2</v>
      </c>
      <c r="D3">
        <v>118.4</v>
      </c>
      <c r="E3">
        <v>18.2</v>
      </c>
      <c r="F3">
        <v>152.9</v>
      </c>
      <c r="G3">
        <v>16.100000000000001</v>
      </c>
      <c r="H3">
        <v>103.7</v>
      </c>
      <c r="I3">
        <v>13.6</v>
      </c>
      <c r="J3" s="1">
        <f t="shared" si="0"/>
        <v>0.74725274725274726</v>
      </c>
      <c r="K3">
        <v>1</v>
      </c>
      <c r="L3" s="1">
        <f t="shared" si="1"/>
        <v>0.82108183079056873</v>
      </c>
      <c r="M3" s="1">
        <f t="shared" si="2"/>
        <v>1.0603328710124829</v>
      </c>
      <c r="N3" s="1">
        <f t="shared" si="3"/>
        <v>0.71914008321775325</v>
      </c>
    </row>
    <row r="4" spans="1:14" x14ac:dyDescent="0.2">
      <c r="A4">
        <v>6</v>
      </c>
      <c r="B4">
        <v>222.9</v>
      </c>
      <c r="C4">
        <v>27.2</v>
      </c>
      <c r="D4">
        <v>192.8</v>
      </c>
      <c r="E4">
        <v>25.2</v>
      </c>
      <c r="F4">
        <v>218.1</v>
      </c>
      <c r="G4">
        <v>20.5</v>
      </c>
      <c r="H4">
        <v>169.5</v>
      </c>
      <c r="I4">
        <v>17</v>
      </c>
      <c r="J4" s="1">
        <f t="shared" si="0"/>
        <v>0.67460317460317465</v>
      </c>
      <c r="K4">
        <v>1</v>
      </c>
      <c r="L4" s="1">
        <f t="shared" si="1"/>
        <v>0.8649618663077614</v>
      </c>
      <c r="M4" s="1">
        <f t="shared" si="2"/>
        <v>0.97846567967698517</v>
      </c>
      <c r="N4" s="1">
        <f t="shared" si="3"/>
        <v>0.76043068640646028</v>
      </c>
    </row>
    <row r="5" spans="1:14" x14ac:dyDescent="0.2">
      <c r="A5">
        <v>8</v>
      </c>
      <c r="B5">
        <v>294.2</v>
      </c>
      <c r="C5">
        <v>34.700000000000003</v>
      </c>
      <c r="D5">
        <v>265.8</v>
      </c>
      <c r="E5">
        <v>31.7</v>
      </c>
      <c r="F5">
        <v>272.89999999999998</v>
      </c>
      <c r="G5">
        <v>22.7</v>
      </c>
      <c r="H5">
        <v>233</v>
      </c>
      <c r="I5">
        <v>20.399999999999999</v>
      </c>
      <c r="J5" s="1">
        <f t="shared" si="0"/>
        <v>0.64353312302839116</v>
      </c>
      <c r="K5">
        <v>1</v>
      </c>
      <c r="L5" s="1">
        <f t="shared" si="1"/>
        <v>0.90346702923181521</v>
      </c>
      <c r="M5" s="1">
        <f t="shared" si="2"/>
        <v>0.9276002719238613</v>
      </c>
      <c r="N5" s="1">
        <f t="shared" si="3"/>
        <v>0.79197824609109457</v>
      </c>
    </row>
    <row r="6" spans="1:14" x14ac:dyDescent="0.2">
      <c r="A6">
        <v>10</v>
      </c>
      <c r="B6">
        <v>337.3</v>
      </c>
      <c r="C6">
        <v>39.6</v>
      </c>
      <c r="D6">
        <v>317.39999999999998</v>
      </c>
      <c r="E6">
        <v>37.700000000000003</v>
      </c>
      <c r="F6">
        <v>315.39999999999998</v>
      </c>
      <c r="G6">
        <v>25</v>
      </c>
      <c r="H6">
        <v>275.2</v>
      </c>
      <c r="I6">
        <v>22.7</v>
      </c>
      <c r="J6" s="1">
        <f t="shared" si="0"/>
        <v>0.60212201591511927</v>
      </c>
      <c r="K6">
        <v>1</v>
      </c>
      <c r="L6" s="1">
        <f t="shared" si="1"/>
        <v>0.94100207530388369</v>
      </c>
      <c r="M6" s="1">
        <f t="shared" si="2"/>
        <v>0.93507263563593235</v>
      </c>
      <c r="N6" s="1">
        <f t="shared" si="3"/>
        <v>0.81589089831010964</v>
      </c>
    </row>
    <row r="7" spans="1:14" x14ac:dyDescent="0.2">
      <c r="A7">
        <v>12</v>
      </c>
      <c r="B7">
        <v>381.4</v>
      </c>
      <c r="C7">
        <v>46.5</v>
      </c>
      <c r="D7">
        <v>363.8</v>
      </c>
      <c r="E7">
        <v>44.8</v>
      </c>
      <c r="F7">
        <v>352.4</v>
      </c>
      <c r="G7">
        <v>28.7</v>
      </c>
      <c r="H7">
        <v>320.39999999999998</v>
      </c>
      <c r="I7">
        <v>26</v>
      </c>
      <c r="J7" s="1">
        <f t="shared" si="0"/>
        <v>0.5803571428571429</v>
      </c>
      <c r="K7">
        <v>1</v>
      </c>
      <c r="L7" s="1">
        <f t="shared" si="1"/>
        <v>0.95385422128998432</v>
      </c>
      <c r="M7" s="1">
        <f t="shared" si="2"/>
        <v>0.92396434189826948</v>
      </c>
      <c r="N7" s="1">
        <f t="shared" si="3"/>
        <v>0.84006292606187727</v>
      </c>
    </row>
    <row r="8" spans="1:14" x14ac:dyDescent="0.2">
      <c r="A8">
        <v>14</v>
      </c>
      <c r="B8">
        <v>413.3</v>
      </c>
      <c r="C8">
        <v>53.6</v>
      </c>
      <c r="D8">
        <v>396.4</v>
      </c>
      <c r="E8">
        <v>50.1</v>
      </c>
      <c r="F8">
        <v>382.5</v>
      </c>
      <c r="G8">
        <v>31.9</v>
      </c>
      <c r="H8">
        <v>354.7</v>
      </c>
      <c r="I8">
        <v>29.6</v>
      </c>
      <c r="J8" s="1">
        <f t="shared" si="0"/>
        <v>0.59081836327345305</v>
      </c>
      <c r="K8">
        <v>1</v>
      </c>
      <c r="L8" s="1">
        <f t="shared" si="1"/>
        <v>0.95910960561335579</v>
      </c>
      <c r="M8" s="1">
        <f t="shared" si="2"/>
        <v>0.92547786111783203</v>
      </c>
      <c r="N8" s="1">
        <f t="shared" si="3"/>
        <v>0.85821437212678442</v>
      </c>
    </row>
    <row r="9" spans="1:14" x14ac:dyDescent="0.2">
      <c r="A9">
        <v>16</v>
      </c>
      <c r="B9">
        <v>448.1</v>
      </c>
      <c r="C9">
        <v>60.9</v>
      </c>
      <c r="D9">
        <v>433.6</v>
      </c>
      <c r="E9">
        <v>57.5</v>
      </c>
      <c r="F9">
        <v>408.1</v>
      </c>
      <c r="G9">
        <v>35.799999999999997</v>
      </c>
      <c r="H9">
        <v>389</v>
      </c>
      <c r="I9">
        <v>33.299999999999997</v>
      </c>
      <c r="J9" s="1">
        <f t="shared" si="0"/>
        <v>0.57913043478260862</v>
      </c>
      <c r="K9">
        <v>1</v>
      </c>
      <c r="L9" s="1">
        <f t="shared" si="1"/>
        <v>0.96764115152867669</v>
      </c>
      <c r="M9" s="1">
        <f t="shared" si="2"/>
        <v>0.91073421111359076</v>
      </c>
      <c r="N9" s="1">
        <f t="shared" si="3"/>
        <v>0.86810979692033019</v>
      </c>
    </row>
    <row r="10" spans="1:14" x14ac:dyDescent="0.2">
      <c r="A10">
        <v>18</v>
      </c>
      <c r="B10">
        <v>477.9</v>
      </c>
      <c r="C10">
        <v>68</v>
      </c>
      <c r="D10">
        <v>463.6</v>
      </c>
      <c r="E10">
        <v>64.7</v>
      </c>
      <c r="F10">
        <v>433.2</v>
      </c>
      <c r="G10">
        <v>38.799999999999997</v>
      </c>
      <c r="H10">
        <v>411</v>
      </c>
      <c r="I10">
        <v>37.299999999999997</v>
      </c>
      <c r="J10" s="1">
        <f t="shared" si="0"/>
        <v>0.57650695517774331</v>
      </c>
      <c r="K10">
        <v>1</v>
      </c>
      <c r="L10" s="1">
        <f t="shared" si="1"/>
        <v>0.97007742205482328</v>
      </c>
      <c r="M10" s="1">
        <f t="shared" si="2"/>
        <v>0.90646578782172005</v>
      </c>
      <c r="N10" s="1">
        <f t="shared" si="3"/>
        <v>0.86001255492780926</v>
      </c>
    </row>
    <row r="11" spans="1:14" x14ac:dyDescent="0.2">
      <c r="A11">
        <v>20</v>
      </c>
      <c r="B11">
        <v>506.9</v>
      </c>
      <c r="C11">
        <v>75.5</v>
      </c>
      <c r="D11">
        <v>491.8</v>
      </c>
      <c r="E11">
        <v>72.900000000000006</v>
      </c>
      <c r="F11">
        <v>459.2</v>
      </c>
      <c r="G11">
        <v>43.2</v>
      </c>
      <c r="H11">
        <v>438.5</v>
      </c>
      <c r="I11">
        <v>40.799999999999997</v>
      </c>
      <c r="J11" s="1">
        <f t="shared" si="0"/>
        <v>0.55967078189300401</v>
      </c>
      <c r="K11">
        <v>1</v>
      </c>
      <c r="L11" s="1">
        <f t="shared" si="1"/>
        <v>0.97021108699940828</v>
      </c>
      <c r="M11" s="1">
        <f t="shared" si="2"/>
        <v>0.90589859932925632</v>
      </c>
      <c r="N11" s="1">
        <f t="shared" si="3"/>
        <v>0.86506214243440527</v>
      </c>
    </row>
    <row r="12" spans="1:14" x14ac:dyDescent="0.2">
      <c r="A12">
        <v>22</v>
      </c>
      <c r="B12">
        <v>532.5</v>
      </c>
      <c r="C12">
        <v>84.2</v>
      </c>
      <c r="D12">
        <v>519.70000000000005</v>
      </c>
      <c r="E12">
        <v>81.5</v>
      </c>
      <c r="F12">
        <v>479.3</v>
      </c>
      <c r="G12">
        <v>47.4</v>
      </c>
      <c r="H12">
        <v>459</v>
      </c>
      <c r="I12">
        <v>45.1</v>
      </c>
      <c r="J12" s="1">
        <f t="shared" si="0"/>
        <v>0.55337423312883438</v>
      </c>
      <c r="K12">
        <v>1</v>
      </c>
      <c r="L12" s="1">
        <f t="shared" si="1"/>
        <v>0.97596244131455412</v>
      </c>
      <c r="M12" s="1">
        <f t="shared" si="2"/>
        <v>0.90009389671361506</v>
      </c>
      <c r="N12" s="1">
        <f t="shared" si="3"/>
        <v>0.86197183098591545</v>
      </c>
    </row>
    <row r="13" spans="1:14" x14ac:dyDescent="0.2">
      <c r="A13">
        <v>24</v>
      </c>
      <c r="B13">
        <v>562.6</v>
      </c>
      <c r="C13">
        <v>91.6</v>
      </c>
      <c r="D13">
        <v>547.70000000000005</v>
      </c>
      <c r="E13">
        <v>87.8</v>
      </c>
      <c r="F13">
        <v>499.5</v>
      </c>
      <c r="G13">
        <v>51.5</v>
      </c>
      <c r="H13">
        <v>482.8</v>
      </c>
      <c r="I13">
        <v>48.5</v>
      </c>
      <c r="J13" s="1">
        <f t="shared" si="0"/>
        <v>0.55239179954441919</v>
      </c>
      <c r="K13">
        <v>1</v>
      </c>
      <c r="L13" s="1">
        <f t="shared" si="1"/>
        <v>0.97351581940988274</v>
      </c>
      <c r="M13" s="1">
        <f t="shared" si="2"/>
        <v>0.88784216139353</v>
      </c>
      <c r="N13" s="1">
        <f t="shared" si="3"/>
        <v>0.85815854959118376</v>
      </c>
    </row>
    <row r="14" spans="1:14" x14ac:dyDescent="0.2">
      <c r="A14">
        <v>26</v>
      </c>
      <c r="B14">
        <v>586.70000000000005</v>
      </c>
      <c r="C14">
        <v>100.4</v>
      </c>
      <c r="D14">
        <v>573.20000000000005</v>
      </c>
      <c r="E14">
        <v>96.5</v>
      </c>
      <c r="F14">
        <v>522.4</v>
      </c>
      <c r="G14">
        <v>55.6</v>
      </c>
      <c r="H14">
        <v>504.8</v>
      </c>
      <c r="I14">
        <v>53.3</v>
      </c>
      <c r="J14" s="1">
        <f t="shared" si="0"/>
        <v>0.55233160621761657</v>
      </c>
      <c r="K14">
        <v>1</v>
      </c>
      <c r="L14" s="1">
        <f t="shared" si="1"/>
        <v>0.97698994375319581</v>
      </c>
      <c r="M14" s="1">
        <f t="shared" si="2"/>
        <v>0.89040395432077712</v>
      </c>
      <c r="N14" s="1">
        <f t="shared" si="3"/>
        <v>0.86040565876938802</v>
      </c>
    </row>
    <row r="15" spans="1:14" x14ac:dyDescent="0.2">
      <c r="A15">
        <v>28</v>
      </c>
      <c r="B15">
        <v>611</v>
      </c>
      <c r="C15">
        <v>109</v>
      </c>
      <c r="D15">
        <v>598.70000000000005</v>
      </c>
      <c r="E15">
        <v>105.4</v>
      </c>
      <c r="F15">
        <v>540.6</v>
      </c>
      <c r="G15">
        <v>59.6</v>
      </c>
      <c r="H15">
        <v>522.79999999999995</v>
      </c>
      <c r="I15">
        <v>56.6</v>
      </c>
      <c r="J15" s="1">
        <f t="shared" si="0"/>
        <v>0.53700189753320682</v>
      </c>
      <c r="K15">
        <v>1</v>
      </c>
      <c r="L15" s="1">
        <f t="shared" si="1"/>
        <v>0.97986906710310973</v>
      </c>
      <c r="M15" s="1">
        <f t="shared" si="2"/>
        <v>0.88477905073649754</v>
      </c>
      <c r="N15" s="1">
        <f t="shared" si="3"/>
        <v>0.85564648117839603</v>
      </c>
    </row>
    <row r="16" spans="1:14" x14ac:dyDescent="0.2">
      <c r="A16">
        <v>30</v>
      </c>
      <c r="B16">
        <v>634.20000000000005</v>
      </c>
      <c r="C16">
        <v>117</v>
      </c>
      <c r="D16">
        <v>620.70000000000005</v>
      </c>
      <c r="E16">
        <v>114.6</v>
      </c>
      <c r="F16">
        <v>558.4</v>
      </c>
      <c r="G16">
        <v>64.8</v>
      </c>
      <c r="H16">
        <v>542.79999999999995</v>
      </c>
      <c r="I16">
        <v>62.3</v>
      </c>
      <c r="J16" s="1">
        <f t="shared" si="0"/>
        <v>0.54363001745200701</v>
      </c>
      <c r="K16">
        <v>1</v>
      </c>
      <c r="L16" s="1">
        <f t="shared" si="1"/>
        <v>0.97871333964049201</v>
      </c>
      <c r="M16" s="1">
        <f t="shared" si="2"/>
        <v>0.88047934405550288</v>
      </c>
      <c r="N16" s="1">
        <f t="shared" si="3"/>
        <v>0.85588142541784917</v>
      </c>
    </row>
    <row r="17" spans="1:14" x14ac:dyDescent="0.2">
      <c r="A17">
        <v>32</v>
      </c>
      <c r="B17">
        <v>662</v>
      </c>
      <c r="C17">
        <v>127.9</v>
      </c>
      <c r="D17">
        <v>648.6</v>
      </c>
      <c r="E17">
        <v>124.4</v>
      </c>
      <c r="F17">
        <v>579</v>
      </c>
      <c r="G17">
        <v>70.900000000000006</v>
      </c>
      <c r="H17">
        <v>564.20000000000005</v>
      </c>
      <c r="I17">
        <v>67.599999999999994</v>
      </c>
      <c r="J17" s="1">
        <f t="shared" si="0"/>
        <v>0.54340836012861726</v>
      </c>
      <c r="K17">
        <v>1</v>
      </c>
      <c r="L17" s="1">
        <f t="shared" si="1"/>
        <v>0.97975830815709974</v>
      </c>
      <c r="M17" s="1">
        <f t="shared" si="2"/>
        <v>0.87462235649546827</v>
      </c>
      <c r="N17" s="1">
        <f t="shared" si="3"/>
        <v>0.85226586102719037</v>
      </c>
    </row>
    <row r="18" spans="1:14" x14ac:dyDescent="0.2">
      <c r="A18">
        <v>34</v>
      </c>
      <c r="B18">
        <v>687.9</v>
      </c>
      <c r="C18">
        <v>162.4</v>
      </c>
      <c r="D18">
        <v>673.5</v>
      </c>
      <c r="E18">
        <v>157.80000000000001</v>
      </c>
      <c r="F18">
        <v>600.20000000000005</v>
      </c>
      <c r="G18">
        <v>89.1</v>
      </c>
      <c r="H18">
        <v>582.29999999999995</v>
      </c>
      <c r="I18">
        <v>86.2</v>
      </c>
      <c r="J18" s="1">
        <f t="shared" si="0"/>
        <v>0.5462610899873257</v>
      </c>
      <c r="K18">
        <v>1</v>
      </c>
      <c r="L18" s="1">
        <f t="shared" si="1"/>
        <v>0.97906672481465329</v>
      </c>
      <c r="M18" s="1">
        <f t="shared" si="2"/>
        <v>0.87251053932257605</v>
      </c>
      <c r="N18" s="1">
        <f t="shared" si="3"/>
        <v>0.84648931530745741</v>
      </c>
    </row>
    <row r="19" spans="1:14" x14ac:dyDescent="0.2">
      <c r="A19">
        <v>36</v>
      </c>
      <c r="B19">
        <v>710.9</v>
      </c>
      <c r="C19">
        <v>161.1</v>
      </c>
      <c r="D19">
        <v>700.2</v>
      </c>
      <c r="E19">
        <v>156.80000000000001</v>
      </c>
      <c r="F19">
        <v>619.4</v>
      </c>
      <c r="G19">
        <v>87.2</v>
      </c>
      <c r="H19">
        <v>604.70000000000005</v>
      </c>
      <c r="I19">
        <v>85</v>
      </c>
      <c r="J19" s="1">
        <f t="shared" si="0"/>
        <v>0.54209183673469385</v>
      </c>
      <c r="K19">
        <v>1</v>
      </c>
      <c r="L19" s="1">
        <f t="shared" si="1"/>
        <v>0.9849486566324378</v>
      </c>
      <c r="M19" s="1">
        <f t="shared" si="2"/>
        <v>0.87128991419327617</v>
      </c>
      <c r="N19" s="1">
        <f t="shared" si="3"/>
        <v>0.85061190040793366</v>
      </c>
    </row>
    <row r="20" spans="1:14" x14ac:dyDescent="0.2">
      <c r="A20">
        <v>38</v>
      </c>
      <c r="B20">
        <v>738.8</v>
      </c>
      <c r="C20">
        <v>161.69999999999999</v>
      </c>
      <c r="D20">
        <v>721</v>
      </c>
      <c r="E20">
        <v>157.80000000000001</v>
      </c>
      <c r="F20">
        <v>636.4</v>
      </c>
      <c r="G20">
        <v>91</v>
      </c>
      <c r="H20">
        <v>621.29999999999995</v>
      </c>
      <c r="I20">
        <v>85.9</v>
      </c>
      <c r="J20" s="1">
        <f t="shared" si="0"/>
        <v>0.54435994930291509</v>
      </c>
      <c r="K20">
        <v>1</v>
      </c>
      <c r="L20" s="1">
        <f t="shared" si="1"/>
        <v>0.9759068760151598</v>
      </c>
      <c r="M20" s="1">
        <f t="shared" si="2"/>
        <v>0.86139685977260427</v>
      </c>
      <c r="N20" s="1">
        <f t="shared" si="3"/>
        <v>0.84095831077422845</v>
      </c>
    </row>
    <row r="21" spans="1:14" x14ac:dyDescent="0.2">
      <c r="A21">
        <v>40</v>
      </c>
      <c r="B21">
        <v>760.8</v>
      </c>
      <c r="C21">
        <v>168.9</v>
      </c>
      <c r="D21">
        <v>747.1</v>
      </c>
      <c r="E21">
        <v>164.9</v>
      </c>
      <c r="F21">
        <v>654.5</v>
      </c>
      <c r="G21">
        <v>93.2</v>
      </c>
      <c r="H21">
        <v>642</v>
      </c>
      <c r="I21">
        <v>90.9</v>
      </c>
      <c r="J21" s="1">
        <f t="shared" si="0"/>
        <v>0.55124317768344455</v>
      </c>
      <c r="K21">
        <v>1</v>
      </c>
      <c r="L21" s="1">
        <f t="shared" si="1"/>
        <v>0.9819926393270243</v>
      </c>
      <c r="M21" s="1">
        <f t="shared" si="2"/>
        <v>0.86027865404837023</v>
      </c>
      <c r="N21" s="1">
        <f t="shared" si="3"/>
        <v>0.84384858044164046</v>
      </c>
    </row>
    <row r="22" spans="1:14" x14ac:dyDescent="0.2">
      <c r="A22">
        <v>60</v>
      </c>
      <c r="B22">
        <v>1011.9</v>
      </c>
      <c r="C22">
        <v>310</v>
      </c>
      <c r="D22">
        <v>996.4</v>
      </c>
      <c r="E22">
        <v>304.60000000000002</v>
      </c>
      <c r="F22">
        <v>846.8</v>
      </c>
      <c r="G22">
        <v>173.5</v>
      </c>
      <c r="H22">
        <v>832.1</v>
      </c>
      <c r="I22">
        <v>170.3</v>
      </c>
      <c r="J22" s="1">
        <f t="shared" si="0"/>
        <v>0.55909389363099149</v>
      </c>
      <c r="K22">
        <v>1</v>
      </c>
      <c r="L22" s="1">
        <f t="shared" si="1"/>
        <v>0.9846822808577923</v>
      </c>
      <c r="M22" s="1">
        <f t="shared" si="2"/>
        <v>0.83684158513687124</v>
      </c>
      <c r="N22" s="1">
        <f t="shared" si="3"/>
        <v>0.82231445795039038</v>
      </c>
    </row>
    <row r="23" spans="1:14" x14ac:dyDescent="0.2">
      <c r="A23">
        <v>80</v>
      </c>
      <c r="B23">
        <v>1248.8</v>
      </c>
      <c r="C23">
        <v>460</v>
      </c>
      <c r="D23">
        <v>1230.2</v>
      </c>
      <c r="E23">
        <v>450.7</v>
      </c>
      <c r="F23">
        <v>1024.8</v>
      </c>
      <c r="G23">
        <v>259.5</v>
      </c>
      <c r="H23">
        <v>1010</v>
      </c>
      <c r="I23">
        <v>255.3</v>
      </c>
      <c r="J23" s="1">
        <f t="shared" si="0"/>
        <v>0.56645218548923904</v>
      </c>
      <c r="K23">
        <v>1</v>
      </c>
      <c r="L23" s="1">
        <f t="shared" si="1"/>
        <v>0.98510570147341459</v>
      </c>
      <c r="M23" s="1">
        <f t="shared" si="2"/>
        <v>0.820627802690583</v>
      </c>
      <c r="N23" s="1">
        <f t="shared" si="3"/>
        <v>0.8087764253683537</v>
      </c>
    </row>
    <row r="24" spans="1:14" x14ac:dyDescent="0.2">
      <c r="A24">
        <v>100</v>
      </c>
      <c r="B24">
        <v>1490.7</v>
      </c>
      <c r="C24">
        <v>663.7</v>
      </c>
      <c r="D24">
        <v>1469.4</v>
      </c>
      <c r="E24">
        <v>651</v>
      </c>
      <c r="F24">
        <v>1201.4000000000001</v>
      </c>
      <c r="G24">
        <v>376.3</v>
      </c>
      <c r="H24">
        <v>1189.9000000000001</v>
      </c>
      <c r="I24">
        <v>369</v>
      </c>
      <c r="J24" s="1">
        <f t="shared" si="0"/>
        <v>0.56682027649769584</v>
      </c>
      <c r="K24">
        <v>1</v>
      </c>
      <c r="L24" s="1">
        <f t="shared" si="1"/>
        <v>0.98571141074662916</v>
      </c>
      <c r="M24" s="1">
        <f t="shared" si="2"/>
        <v>0.80593009995304221</v>
      </c>
      <c r="N24" s="1">
        <f t="shared" si="3"/>
        <v>0.79821560340779507</v>
      </c>
    </row>
    <row r="25" spans="1:14" x14ac:dyDescent="0.2">
      <c r="A25">
        <v>120</v>
      </c>
      <c r="B25">
        <v>1744.6</v>
      </c>
      <c r="C25">
        <v>938.1</v>
      </c>
      <c r="D25">
        <v>1717.4</v>
      </c>
      <c r="E25">
        <v>924.4</v>
      </c>
      <c r="F25">
        <v>1386.1</v>
      </c>
      <c r="G25">
        <v>538.9</v>
      </c>
      <c r="H25">
        <v>1374</v>
      </c>
      <c r="I25">
        <v>531.4</v>
      </c>
      <c r="J25" s="1">
        <f t="shared" si="0"/>
        <v>0.57485936823885764</v>
      </c>
      <c r="K25">
        <v>1</v>
      </c>
      <c r="L25" s="1">
        <f t="shared" si="1"/>
        <v>0.9844090335893616</v>
      </c>
      <c r="M25" s="1">
        <f t="shared" si="2"/>
        <v>0.79450876991860597</v>
      </c>
      <c r="N25" s="1">
        <f t="shared" si="3"/>
        <v>0.78757308265504988</v>
      </c>
    </row>
    <row r="26" spans="1:14" x14ac:dyDescent="0.2">
      <c r="A26">
        <v>140</v>
      </c>
      <c r="B26">
        <v>1978.9</v>
      </c>
      <c r="C26">
        <v>1167.5</v>
      </c>
      <c r="D26">
        <v>1956.4</v>
      </c>
      <c r="E26">
        <v>1151.8</v>
      </c>
      <c r="F26">
        <v>1563.7</v>
      </c>
      <c r="G26">
        <v>673.7</v>
      </c>
      <c r="H26">
        <v>1547.6</v>
      </c>
      <c r="I26">
        <v>657.5</v>
      </c>
      <c r="J26" s="1">
        <f t="shared" si="0"/>
        <v>0.57084563292238233</v>
      </c>
      <c r="K26">
        <v>1</v>
      </c>
      <c r="L26" s="1">
        <f t="shared" si="1"/>
        <v>0.9886300469958057</v>
      </c>
      <c r="M26" s="1">
        <f t="shared" si="2"/>
        <v>0.79018646722926877</v>
      </c>
      <c r="N26" s="1">
        <f t="shared" si="3"/>
        <v>0.78205063419071197</v>
      </c>
    </row>
    <row r="27" spans="1:14" x14ac:dyDescent="0.2">
      <c r="A27">
        <v>160</v>
      </c>
      <c r="B27">
        <v>2219.3000000000002</v>
      </c>
      <c r="C27">
        <v>1471.3</v>
      </c>
      <c r="D27">
        <v>2194.1999999999998</v>
      </c>
      <c r="E27">
        <v>1456</v>
      </c>
      <c r="F27">
        <v>1738.3</v>
      </c>
      <c r="G27">
        <v>844.3</v>
      </c>
      <c r="H27">
        <v>1719.7</v>
      </c>
      <c r="I27">
        <v>828.1</v>
      </c>
      <c r="J27" s="1">
        <f t="shared" si="0"/>
        <v>0.56874999999999998</v>
      </c>
      <c r="K27">
        <v>1</v>
      </c>
      <c r="L27" s="1">
        <f t="shared" si="1"/>
        <v>0.98869012751768559</v>
      </c>
      <c r="M27" s="1">
        <f t="shared" si="2"/>
        <v>0.78326499346640821</v>
      </c>
      <c r="N27" s="1">
        <f t="shared" si="3"/>
        <v>0.77488397242373719</v>
      </c>
    </row>
    <row r="28" spans="1:14" x14ac:dyDescent="0.2">
      <c r="A28">
        <v>180</v>
      </c>
      <c r="B28">
        <v>2464.8000000000002</v>
      </c>
      <c r="C28">
        <v>1873.4</v>
      </c>
      <c r="D28">
        <v>2428.6</v>
      </c>
      <c r="E28">
        <v>1843.6</v>
      </c>
      <c r="F28">
        <v>1910</v>
      </c>
      <c r="G28">
        <v>1060.8</v>
      </c>
      <c r="H28">
        <v>1897.1</v>
      </c>
      <c r="I28">
        <v>1043.5999999999999</v>
      </c>
      <c r="J28" s="1">
        <f t="shared" si="0"/>
        <v>0.5660663918420481</v>
      </c>
      <c r="K28">
        <v>1</v>
      </c>
      <c r="L28" s="1">
        <f t="shared" si="1"/>
        <v>0.9853132099967542</v>
      </c>
      <c r="M28" s="1">
        <f t="shared" si="2"/>
        <v>0.77491074326517362</v>
      </c>
      <c r="N28" s="1">
        <f t="shared" si="3"/>
        <v>0.76967705290490096</v>
      </c>
    </row>
    <row r="29" spans="1:14" x14ac:dyDescent="0.2">
      <c r="A29">
        <v>200</v>
      </c>
      <c r="B29">
        <v>2697.7</v>
      </c>
      <c r="C29">
        <v>2265.3000000000002</v>
      </c>
      <c r="D29">
        <v>2667.5</v>
      </c>
      <c r="E29">
        <v>2232.9</v>
      </c>
      <c r="F29">
        <v>2082.9</v>
      </c>
      <c r="G29">
        <v>1272.4000000000001</v>
      </c>
      <c r="H29">
        <v>2068.4</v>
      </c>
      <c r="I29">
        <v>1255.8</v>
      </c>
      <c r="J29" s="1">
        <f t="shared" si="0"/>
        <v>0.56240763133145233</v>
      </c>
      <c r="K29">
        <v>1</v>
      </c>
      <c r="L29" s="1">
        <f t="shared" si="1"/>
        <v>0.98880527857063427</v>
      </c>
      <c r="M29" s="1">
        <f t="shared" si="2"/>
        <v>0.77210216110019658</v>
      </c>
      <c r="N29" s="1">
        <f t="shared" si="3"/>
        <v>0.76672721206954075</v>
      </c>
    </row>
    <row r="30" spans="1:14" x14ac:dyDescent="0.2">
      <c r="A30">
        <v>300</v>
      </c>
      <c r="B30">
        <v>3905.7</v>
      </c>
      <c r="C30">
        <v>5159.8999999999996</v>
      </c>
      <c r="D30">
        <v>3850.5</v>
      </c>
      <c r="E30">
        <v>5090.8</v>
      </c>
      <c r="F30">
        <v>2937.3</v>
      </c>
      <c r="G30">
        <v>2775.9</v>
      </c>
      <c r="H30">
        <v>2922.4</v>
      </c>
      <c r="I30">
        <v>2733.7</v>
      </c>
      <c r="J30" s="1">
        <f t="shared" si="0"/>
        <v>0.53698829260627012</v>
      </c>
      <c r="K30">
        <v>1</v>
      </c>
      <c r="L30" s="1">
        <f t="shared" ref="L30:L37" si="4">D30/B30</f>
        <v>0.98586681004685461</v>
      </c>
      <c r="M30" s="1">
        <f t="shared" ref="M30:M37" si="5">F30/B30</f>
        <v>0.75205468930025354</v>
      </c>
      <c r="N30" s="1">
        <f t="shared" ref="N30:N37" si="6">H30/B30</f>
        <v>0.74823975215710381</v>
      </c>
    </row>
    <row r="31" spans="1:14" x14ac:dyDescent="0.2">
      <c r="A31">
        <v>400</v>
      </c>
      <c r="B31">
        <v>5057.3999999999996</v>
      </c>
      <c r="C31">
        <v>31282.2</v>
      </c>
      <c r="D31">
        <v>5012.8999999999996</v>
      </c>
      <c r="E31">
        <v>46473.5</v>
      </c>
      <c r="F31">
        <v>3756.7</v>
      </c>
      <c r="G31">
        <v>11271.7</v>
      </c>
      <c r="H31">
        <v>3740.8</v>
      </c>
      <c r="I31">
        <v>23294.2</v>
      </c>
      <c r="J31" s="1"/>
      <c r="K31">
        <v>1</v>
      </c>
      <c r="L31" s="1">
        <f t="shared" si="4"/>
        <v>0.9912010123779017</v>
      </c>
      <c r="M31" s="1">
        <f t="shared" si="5"/>
        <v>0.74281251235812873</v>
      </c>
      <c r="N31" s="1">
        <f t="shared" si="6"/>
        <v>0.73966860442124416</v>
      </c>
    </row>
    <row r="32" spans="1:14" x14ac:dyDescent="0.2">
      <c r="A32">
        <v>500</v>
      </c>
      <c r="B32">
        <v>6256.8</v>
      </c>
      <c r="C32">
        <v>31983.3</v>
      </c>
      <c r="D32">
        <v>6192</v>
      </c>
      <c r="E32">
        <v>49415.6</v>
      </c>
      <c r="F32">
        <v>4578.6000000000004</v>
      </c>
      <c r="G32">
        <v>21332.9</v>
      </c>
      <c r="H32">
        <v>4564.8</v>
      </c>
      <c r="I32">
        <v>17084.8</v>
      </c>
      <c r="J32" s="1"/>
      <c r="K32">
        <v>1</v>
      </c>
      <c r="L32" s="1">
        <f t="shared" si="4"/>
        <v>0.98964326812428072</v>
      </c>
      <c r="M32" s="1">
        <f t="shared" si="5"/>
        <v>0.73177982355197546</v>
      </c>
      <c r="N32" s="1">
        <f t="shared" si="6"/>
        <v>0.72957422324510934</v>
      </c>
    </row>
    <row r="33" spans="1:14" x14ac:dyDescent="0.2">
      <c r="A33">
        <v>600</v>
      </c>
      <c r="B33">
        <v>7400.4</v>
      </c>
      <c r="C33">
        <v>21380.6</v>
      </c>
      <c r="D33">
        <v>7331</v>
      </c>
      <c r="E33">
        <v>21184.5</v>
      </c>
      <c r="F33">
        <v>5358.8</v>
      </c>
      <c r="G33">
        <v>9604.7000000000007</v>
      </c>
      <c r="H33">
        <v>5351.1</v>
      </c>
      <c r="I33">
        <v>9571.7000000000007</v>
      </c>
      <c r="J33" s="1">
        <f t="shared" si="0"/>
        <v>0.45182562722745406</v>
      </c>
      <c r="K33">
        <v>1</v>
      </c>
      <c r="L33" s="1">
        <f t="shared" si="4"/>
        <v>0.99062212853359288</v>
      </c>
      <c r="M33" s="1">
        <f t="shared" si="5"/>
        <v>0.72412302037727694</v>
      </c>
      <c r="N33" s="1">
        <f t="shared" si="6"/>
        <v>0.72308253607913098</v>
      </c>
    </row>
    <row r="34" spans="1:14" x14ac:dyDescent="0.2">
      <c r="A34">
        <v>700</v>
      </c>
      <c r="B34">
        <v>8574.4</v>
      </c>
      <c r="C34">
        <v>104613.7</v>
      </c>
      <c r="D34">
        <v>8494.7999999999993</v>
      </c>
      <c r="E34">
        <v>88737.1</v>
      </c>
      <c r="F34">
        <v>6153.9</v>
      </c>
      <c r="G34">
        <v>28492</v>
      </c>
      <c r="H34">
        <v>6137.2</v>
      </c>
      <c r="I34">
        <v>33455.4</v>
      </c>
      <c r="J34" s="1">
        <f t="shared" si="0"/>
        <v>0.37701705374640371</v>
      </c>
      <c r="K34">
        <v>1</v>
      </c>
      <c r="L34" s="1">
        <f t="shared" si="4"/>
        <v>0.99071655159544691</v>
      </c>
      <c r="M34" s="1">
        <f t="shared" si="5"/>
        <v>0.71770619518566892</v>
      </c>
      <c r="N34" s="1">
        <f t="shared" si="6"/>
        <v>0.71575853704049264</v>
      </c>
    </row>
    <row r="35" spans="1:14" x14ac:dyDescent="0.2">
      <c r="A35">
        <v>800</v>
      </c>
      <c r="B35">
        <v>9718.2999999999993</v>
      </c>
      <c r="C35">
        <v>40334.300000000003</v>
      </c>
      <c r="D35">
        <v>9634.5</v>
      </c>
      <c r="E35">
        <v>40090.699999999997</v>
      </c>
      <c r="F35">
        <v>6914.8</v>
      </c>
      <c r="G35">
        <v>16149.7</v>
      </c>
      <c r="H35">
        <v>6903.8</v>
      </c>
      <c r="I35">
        <v>16052.6</v>
      </c>
      <c r="J35" s="1">
        <f t="shared" si="0"/>
        <v>0.40040707695300909</v>
      </c>
      <c r="K35">
        <v>1</v>
      </c>
      <c r="L35" s="1">
        <f t="shared" si="4"/>
        <v>0.99137709270139851</v>
      </c>
      <c r="M35" s="1">
        <f t="shared" si="5"/>
        <v>0.71152362038628159</v>
      </c>
      <c r="N35" s="1">
        <f t="shared" si="6"/>
        <v>0.7103917351800213</v>
      </c>
    </row>
    <row r="36" spans="1:14" x14ac:dyDescent="0.2">
      <c r="A36">
        <v>900</v>
      </c>
      <c r="B36">
        <v>10856.6</v>
      </c>
      <c r="C36">
        <v>55177.2</v>
      </c>
      <c r="D36">
        <v>10779.2</v>
      </c>
      <c r="E36">
        <v>54975.6</v>
      </c>
      <c r="F36">
        <v>7674.2</v>
      </c>
      <c r="G36">
        <v>20848</v>
      </c>
      <c r="H36">
        <v>7667.2</v>
      </c>
      <c r="I36">
        <v>20759.599999999999</v>
      </c>
      <c r="J36" s="1">
        <f t="shared" si="0"/>
        <v>0.37761479638239509</v>
      </c>
      <c r="K36">
        <v>1</v>
      </c>
      <c r="L36" s="1">
        <f t="shared" si="4"/>
        <v>0.99287069616638735</v>
      </c>
      <c r="M36" s="1">
        <f t="shared" si="5"/>
        <v>0.70686955400401597</v>
      </c>
      <c r="N36" s="1">
        <f t="shared" si="6"/>
        <v>0.70622478492345664</v>
      </c>
    </row>
    <row r="37" spans="1:14" x14ac:dyDescent="0.2">
      <c r="A37">
        <v>1000</v>
      </c>
      <c r="J37" s="1" t="e">
        <f t="shared" si="0"/>
        <v>#DIV/0!</v>
      </c>
      <c r="K37">
        <v>1</v>
      </c>
      <c r="L37" s="1" t="e">
        <f t="shared" si="4"/>
        <v>#DIV/0!</v>
      </c>
      <c r="M37" s="1" t="e">
        <f t="shared" si="5"/>
        <v>#DIV/0!</v>
      </c>
      <c r="N37" s="1" t="e">
        <f t="shared" si="6"/>
        <v>#DIV/0!</v>
      </c>
    </row>
    <row r="38" spans="1:14" x14ac:dyDescent="0.2">
      <c r="J38" s="1"/>
    </row>
    <row r="39" spans="1:14" x14ac:dyDescent="0.2">
      <c r="J39" s="1"/>
    </row>
    <row r="40" spans="1:14" x14ac:dyDescent="0.2">
      <c r="J40" s="1"/>
    </row>
    <row r="41" spans="1:14" x14ac:dyDescent="0.2">
      <c r="J41" s="1"/>
    </row>
    <row r="42" spans="1:14" x14ac:dyDescent="0.2">
      <c r="J42" s="1"/>
    </row>
    <row r="43" spans="1:14" x14ac:dyDescent="0.2">
      <c r="J43" s="1"/>
    </row>
    <row r="44" spans="1:14" x14ac:dyDescent="0.2">
      <c r="J44" s="1"/>
    </row>
    <row r="45" spans="1:14" x14ac:dyDescent="0.2">
      <c r="J45" s="1"/>
    </row>
    <row r="46" spans="1:14" x14ac:dyDescent="0.2">
      <c r="J46" s="1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B7E4-F8A4-9D49-970A-38F9C1EDEF22}">
  <dimension ref="A1:N46"/>
  <sheetViews>
    <sheetView tabSelected="1" workbookViewId="0">
      <selection activeCell="A34" sqref="A34:I3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3</v>
      </c>
      <c r="G1" t="s">
        <v>8</v>
      </c>
      <c r="H1" t="s">
        <v>4</v>
      </c>
      <c r="I1" t="s">
        <v>9</v>
      </c>
      <c r="J1" t="s">
        <v>67</v>
      </c>
      <c r="K1" t="s">
        <v>60</v>
      </c>
      <c r="L1" t="s">
        <v>61</v>
      </c>
      <c r="M1" t="s">
        <v>5</v>
      </c>
      <c r="N1" t="s">
        <v>57</v>
      </c>
    </row>
    <row r="2" spans="1:14" x14ac:dyDescent="0.2">
      <c r="A2">
        <v>2</v>
      </c>
      <c r="B2">
        <v>41.8</v>
      </c>
      <c r="C2">
        <v>14.1</v>
      </c>
      <c r="D2">
        <v>39.799999999999997</v>
      </c>
      <c r="E2">
        <v>12.5</v>
      </c>
      <c r="F2">
        <v>58.5</v>
      </c>
      <c r="G2">
        <v>12.6</v>
      </c>
      <c r="H2">
        <v>41.3</v>
      </c>
      <c r="I2">
        <v>10.8</v>
      </c>
      <c r="J2" s="1">
        <f t="shared" ref="J2:J37" si="0">I2/E2</f>
        <v>0.8640000000000001</v>
      </c>
      <c r="K2">
        <v>1</v>
      </c>
      <c r="L2" s="1">
        <f t="shared" ref="L2:L37" si="1">D2/B2</f>
        <v>0.95215311004784686</v>
      </c>
      <c r="M2" s="1">
        <f t="shared" ref="M2:M37" si="2">F2/B2</f>
        <v>1.3995215311004785</v>
      </c>
      <c r="N2" s="1">
        <f t="shared" ref="N2:N37" si="3">H2/B2</f>
        <v>0.98803827751196172</v>
      </c>
    </row>
    <row r="3" spans="1:14" x14ac:dyDescent="0.2">
      <c r="A3">
        <v>4</v>
      </c>
      <c r="B3">
        <v>73.099999999999994</v>
      </c>
      <c r="C3">
        <v>20.2</v>
      </c>
      <c r="D3">
        <v>68</v>
      </c>
      <c r="E3">
        <v>18.2</v>
      </c>
      <c r="F3">
        <v>86.9</v>
      </c>
      <c r="G3">
        <v>16.100000000000001</v>
      </c>
      <c r="H3">
        <v>63.2</v>
      </c>
      <c r="I3">
        <v>13.6</v>
      </c>
      <c r="J3" s="1">
        <f t="shared" si="0"/>
        <v>0.74725274725274726</v>
      </c>
      <c r="K3">
        <v>1</v>
      </c>
      <c r="L3" s="1">
        <f t="shared" si="1"/>
        <v>0.93023255813953498</v>
      </c>
      <c r="M3" s="1">
        <f t="shared" si="2"/>
        <v>1.1887824897400823</v>
      </c>
      <c r="N3" s="1">
        <f t="shared" si="3"/>
        <v>0.86456908344733252</v>
      </c>
    </row>
    <row r="4" spans="1:14" x14ac:dyDescent="0.2">
      <c r="A4">
        <v>6</v>
      </c>
      <c r="B4">
        <v>106.1</v>
      </c>
      <c r="C4">
        <v>27.2</v>
      </c>
      <c r="D4">
        <v>98.8</v>
      </c>
      <c r="E4">
        <v>25.2</v>
      </c>
      <c r="F4">
        <v>117.4</v>
      </c>
      <c r="G4">
        <v>20.5</v>
      </c>
      <c r="H4">
        <v>94</v>
      </c>
      <c r="I4">
        <v>17</v>
      </c>
      <c r="J4" s="1">
        <f t="shared" si="0"/>
        <v>0.67460317460317465</v>
      </c>
      <c r="K4">
        <v>1</v>
      </c>
      <c r="L4" s="1">
        <f t="shared" si="1"/>
        <v>0.93119698397737982</v>
      </c>
      <c r="M4" s="1">
        <f t="shared" si="2"/>
        <v>1.106503298774741</v>
      </c>
      <c r="N4" s="1">
        <f t="shared" si="3"/>
        <v>0.88595664467483515</v>
      </c>
    </row>
    <row r="5" spans="1:14" x14ac:dyDescent="0.2">
      <c r="A5">
        <v>8</v>
      </c>
      <c r="B5">
        <v>131.80000000000001</v>
      </c>
      <c r="C5">
        <v>34.700000000000003</v>
      </c>
      <c r="D5">
        <v>126.2</v>
      </c>
      <c r="E5">
        <v>31.7</v>
      </c>
      <c r="F5">
        <v>141.80000000000001</v>
      </c>
      <c r="G5">
        <v>22.7</v>
      </c>
      <c r="H5">
        <v>123.4</v>
      </c>
      <c r="I5">
        <v>20.399999999999999</v>
      </c>
      <c r="J5" s="1">
        <f t="shared" si="0"/>
        <v>0.64353312302839116</v>
      </c>
      <c r="K5">
        <v>1</v>
      </c>
      <c r="L5" s="1">
        <f t="shared" si="1"/>
        <v>0.95751138088012133</v>
      </c>
      <c r="M5" s="1">
        <f t="shared" si="2"/>
        <v>1.0758725341426403</v>
      </c>
      <c r="N5" s="1">
        <f t="shared" si="3"/>
        <v>0.93626707132018205</v>
      </c>
    </row>
    <row r="6" spans="1:14" x14ac:dyDescent="0.2">
      <c r="A6">
        <v>10</v>
      </c>
      <c r="B6">
        <v>145.30000000000001</v>
      </c>
      <c r="C6">
        <v>39.6</v>
      </c>
      <c r="D6">
        <v>144.4</v>
      </c>
      <c r="E6">
        <v>37.700000000000003</v>
      </c>
      <c r="F6">
        <v>159.69999999999999</v>
      </c>
      <c r="G6">
        <v>25</v>
      </c>
      <c r="H6">
        <v>143.6</v>
      </c>
      <c r="I6">
        <v>22.7</v>
      </c>
      <c r="J6" s="1">
        <f t="shared" si="0"/>
        <v>0.60212201591511927</v>
      </c>
      <c r="K6">
        <v>1</v>
      </c>
      <c r="L6" s="1">
        <f t="shared" si="1"/>
        <v>0.99380591878871294</v>
      </c>
      <c r="M6" s="1">
        <f t="shared" si="2"/>
        <v>1.0991052993805916</v>
      </c>
      <c r="N6" s="1">
        <f t="shared" si="3"/>
        <v>0.98830006882312449</v>
      </c>
    </row>
    <row r="7" spans="1:14" x14ac:dyDescent="0.2">
      <c r="A7">
        <v>12</v>
      </c>
      <c r="B7">
        <v>159.5</v>
      </c>
      <c r="C7">
        <v>46.5</v>
      </c>
      <c r="D7">
        <v>161</v>
      </c>
      <c r="E7">
        <v>44.8</v>
      </c>
      <c r="F7">
        <v>176.1</v>
      </c>
      <c r="G7">
        <v>28.7</v>
      </c>
      <c r="H7">
        <v>162.1</v>
      </c>
      <c r="I7">
        <v>26</v>
      </c>
      <c r="J7" s="1">
        <f t="shared" si="0"/>
        <v>0.5803571428571429</v>
      </c>
      <c r="K7">
        <v>1</v>
      </c>
      <c r="L7" s="1">
        <f t="shared" si="1"/>
        <v>1.0094043887147335</v>
      </c>
      <c r="M7" s="1">
        <f t="shared" si="2"/>
        <v>1.1040752351097178</v>
      </c>
      <c r="N7" s="1">
        <f t="shared" si="3"/>
        <v>1.0163009404388714</v>
      </c>
    </row>
    <row r="8" spans="1:14" x14ac:dyDescent="0.2">
      <c r="A8">
        <v>14</v>
      </c>
      <c r="B8">
        <v>168.6</v>
      </c>
      <c r="C8">
        <v>53.6</v>
      </c>
      <c r="D8">
        <v>169.3</v>
      </c>
      <c r="E8">
        <v>50.1</v>
      </c>
      <c r="F8">
        <v>189.4</v>
      </c>
      <c r="G8">
        <v>31.9</v>
      </c>
      <c r="H8">
        <v>177.8</v>
      </c>
      <c r="I8">
        <v>29.6</v>
      </c>
      <c r="J8" s="1">
        <f t="shared" si="0"/>
        <v>0.59081836327345305</v>
      </c>
      <c r="K8">
        <v>1</v>
      </c>
      <c r="L8" s="1">
        <f t="shared" si="1"/>
        <v>1.0041518386714117</v>
      </c>
      <c r="M8" s="1">
        <f t="shared" si="2"/>
        <v>1.1233689205219455</v>
      </c>
      <c r="N8" s="1">
        <f t="shared" si="3"/>
        <v>1.0545670225385528</v>
      </c>
    </row>
    <row r="9" spans="1:14" x14ac:dyDescent="0.2">
      <c r="A9">
        <v>16</v>
      </c>
      <c r="B9">
        <v>180.8</v>
      </c>
      <c r="C9">
        <v>60.9</v>
      </c>
      <c r="D9">
        <v>182.1</v>
      </c>
      <c r="E9">
        <v>57.5</v>
      </c>
      <c r="F9">
        <v>201.8</v>
      </c>
      <c r="G9">
        <v>35.799999999999997</v>
      </c>
      <c r="H9">
        <v>193.7</v>
      </c>
      <c r="I9">
        <v>33.299999999999997</v>
      </c>
      <c r="J9" s="1">
        <f t="shared" si="0"/>
        <v>0.57913043478260862</v>
      </c>
      <c r="K9">
        <v>1</v>
      </c>
      <c r="L9" s="1">
        <f t="shared" si="1"/>
        <v>1.0071902654867255</v>
      </c>
      <c r="M9" s="1">
        <f t="shared" si="2"/>
        <v>1.1161504424778761</v>
      </c>
      <c r="N9" s="1">
        <f t="shared" si="3"/>
        <v>1.0713495575221237</v>
      </c>
    </row>
    <row r="10" spans="1:14" x14ac:dyDescent="0.2">
      <c r="A10">
        <v>18</v>
      </c>
      <c r="B10">
        <v>190.2</v>
      </c>
      <c r="C10">
        <v>68</v>
      </c>
      <c r="D10">
        <v>189.5</v>
      </c>
      <c r="E10">
        <v>64.7</v>
      </c>
      <c r="F10">
        <v>215.1</v>
      </c>
      <c r="G10">
        <v>38.799999999999997</v>
      </c>
      <c r="H10">
        <v>205.4</v>
      </c>
      <c r="I10">
        <v>37.299999999999997</v>
      </c>
      <c r="J10" s="1">
        <f t="shared" si="0"/>
        <v>0.57650695517774331</v>
      </c>
      <c r="K10">
        <v>1</v>
      </c>
      <c r="L10" s="1">
        <f t="shared" si="1"/>
        <v>0.99631966351209256</v>
      </c>
      <c r="M10" s="1">
        <f t="shared" si="2"/>
        <v>1.1309148264984228</v>
      </c>
      <c r="N10" s="1">
        <f t="shared" si="3"/>
        <v>1.0799158780231337</v>
      </c>
    </row>
    <row r="11" spans="1:14" x14ac:dyDescent="0.2">
      <c r="A11">
        <v>20</v>
      </c>
      <c r="B11">
        <v>196.7</v>
      </c>
      <c r="C11">
        <v>75.5</v>
      </c>
      <c r="D11">
        <v>197.4</v>
      </c>
      <c r="E11">
        <v>72.900000000000006</v>
      </c>
      <c r="F11">
        <v>226.9</v>
      </c>
      <c r="G11">
        <v>43.2</v>
      </c>
      <c r="H11">
        <v>216.9</v>
      </c>
      <c r="I11">
        <v>40.799999999999997</v>
      </c>
      <c r="J11" s="1">
        <f t="shared" si="0"/>
        <v>0.55967078189300401</v>
      </c>
      <c r="K11">
        <v>1</v>
      </c>
      <c r="L11" s="1">
        <f t="shared" si="1"/>
        <v>1.0035587188612101</v>
      </c>
      <c r="M11" s="1">
        <f t="shared" si="2"/>
        <v>1.1535332994407728</v>
      </c>
      <c r="N11" s="1">
        <f t="shared" si="3"/>
        <v>1.1026944585663447</v>
      </c>
    </row>
    <row r="12" spans="1:14" x14ac:dyDescent="0.2">
      <c r="A12">
        <v>22</v>
      </c>
      <c r="B12">
        <v>203.6</v>
      </c>
      <c r="C12">
        <v>84.2</v>
      </c>
      <c r="D12">
        <v>204.7</v>
      </c>
      <c r="E12">
        <v>81.5</v>
      </c>
      <c r="F12">
        <v>237.6</v>
      </c>
      <c r="G12">
        <v>47.4</v>
      </c>
      <c r="H12">
        <v>227.1</v>
      </c>
      <c r="I12">
        <v>45.1</v>
      </c>
      <c r="J12" s="1">
        <f t="shared" si="0"/>
        <v>0.55337423312883438</v>
      </c>
      <c r="K12">
        <v>1</v>
      </c>
      <c r="L12" s="1">
        <f t="shared" si="1"/>
        <v>1.0054027504911591</v>
      </c>
      <c r="M12" s="1">
        <f t="shared" si="2"/>
        <v>1.1669941060903732</v>
      </c>
      <c r="N12" s="1">
        <f t="shared" si="3"/>
        <v>1.1154223968565815</v>
      </c>
    </row>
    <row r="13" spans="1:14" x14ac:dyDescent="0.2">
      <c r="A13">
        <v>24</v>
      </c>
      <c r="B13">
        <v>212.4</v>
      </c>
      <c r="C13">
        <v>91.6</v>
      </c>
      <c r="D13">
        <v>215.3</v>
      </c>
      <c r="E13">
        <v>87.8</v>
      </c>
      <c r="F13">
        <v>248.2</v>
      </c>
      <c r="G13">
        <v>51.5</v>
      </c>
      <c r="H13">
        <v>239.8</v>
      </c>
      <c r="I13">
        <v>48.5</v>
      </c>
      <c r="J13" s="1">
        <f t="shared" si="0"/>
        <v>0.55239179954441919</v>
      </c>
      <c r="K13">
        <v>1</v>
      </c>
      <c r="L13" s="1">
        <f t="shared" si="1"/>
        <v>1.0136534839924671</v>
      </c>
      <c r="M13" s="1">
        <f t="shared" si="2"/>
        <v>1.1685499058380413</v>
      </c>
      <c r="N13" s="1">
        <f t="shared" si="3"/>
        <v>1.1290018832391715</v>
      </c>
    </row>
    <row r="14" spans="1:14" x14ac:dyDescent="0.2">
      <c r="A14">
        <v>26</v>
      </c>
      <c r="B14">
        <v>218</v>
      </c>
      <c r="C14">
        <v>100.4</v>
      </c>
      <c r="D14">
        <v>222.5</v>
      </c>
      <c r="E14">
        <v>96.5</v>
      </c>
      <c r="F14">
        <v>262</v>
      </c>
      <c r="G14">
        <v>55.6</v>
      </c>
      <c r="H14">
        <v>252.7</v>
      </c>
      <c r="I14">
        <v>53.3</v>
      </c>
      <c r="J14" s="1">
        <f t="shared" si="0"/>
        <v>0.55233160621761657</v>
      </c>
      <c r="K14">
        <v>1</v>
      </c>
      <c r="L14" s="1">
        <f t="shared" si="1"/>
        <v>1.0206422018348624</v>
      </c>
      <c r="M14" s="1">
        <f t="shared" si="2"/>
        <v>1.201834862385321</v>
      </c>
      <c r="N14" s="1">
        <f t="shared" si="3"/>
        <v>1.1591743119266054</v>
      </c>
    </row>
    <row r="15" spans="1:14" x14ac:dyDescent="0.2">
      <c r="A15">
        <v>28</v>
      </c>
      <c r="B15">
        <v>225</v>
      </c>
      <c r="C15">
        <v>109</v>
      </c>
      <c r="D15">
        <v>229.1</v>
      </c>
      <c r="E15">
        <v>105.4</v>
      </c>
      <c r="F15">
        <v>269</v>
      </c>
      <c r="G15">
        <v>59.6</v>
      </c>
      <c r="H15">
        <v>262.8</v>
      </c>
      <c r="I15">
        <v>56.6</v>
      </c>
      <c r="J15" s="1">
        <f t="shared" si="0"/>
        <v>0.53700189753320682</v>
      </c>
      <c r="K15">
        <v>1</v>
      </c>
      <c r="L15" s="1">
        <f t="shared" si="1"/>
        <v>1.0182222222222221</v>
      </c>
      <c r="M15" s="1">
        <f t="shared" si="2"/>
        <v>1.1955555555555555</v>
      </c>
      <c r="N15" s="1">
        <f t="shared" si="3"/>
        <v>1.1680000000000001</v>
      </c>
    </row>
    <row r="16" spans="1:14" x14ac:dyDescent="0.2">
      <c r="A16">
        <v>30</v>
      </c>
      <c r="B16">
        <v>232.7</v>
      </c>
      <c r="C16">
        <v>117</v>
      </c>
      <c r="D16">
        <v>237.1</v>
      </c>
      <c r="E16">
        <v>114.6</v>
      </c>
      <c r="F16">
        <v>279.39999999999998</v>
      </c>
      <c r="G16">
        <v>64.8</v>
      </c>
      <c r="H16">
        <v>269.3</v>
      </c>
      <c r="I16">
        <v>62.3</v>
      </c>
      <c r="J16" s="1">
        <f t="shared" si="0"/>
        <v>0.54363001745200701</v>
      </c>
      <c r="K16">
        <v>1</v>
      </c>
      <c r="L16" s="1">
        <f t="shared" si="1"/>
        <v>1.0189084658358403</v>
      </c>
      <c r="M16" s="1">
        <f t="shared" si="2"/>
        <v>1.2006875805758488</v>
      </c>
      <c r="N16" s="1">
        <f t="shared" si="3"/>
        <v>1.1572840567253977</v>
      </c>
    </row>
    <row r="17" spans="1:14" x14ac:dyDescent="0.2">
      <c r="A17">
        <v>32</v>
      </c>
      <c r="B17">
        <v>242.3</v>
      </c>
      <c r="C17">
        <v>127.9</v>
      </c>
      <c r="D17">
        <v>244.8</v>
      </c>
      <c r="E17">
        <v>124.4</v>
      </c>
      <c r="F17">
        <v>290.3</v>
      </c>
      <c r="G17">
        <v>70.900000000000006</v>
      </c>
      <c r="H17">
        <v>281</v>
      </c>
      <c r="I17">
        <v>67.599999999999994</v>
      </c>
      <c r="J17" s="1">
        <f t="shared" si="0"/>
        <v>0.54340836012861726</v>
      </c>
      <c r="K17">
        <v>1</v>
      </c>
      <c r="L17" s="1">
        <f t="shared" si="1"/>
        <v>1.0103177878662815</v>
      </c>
      <c r="M17" s="1">
        <f t="shared" si="2"/>
        <v>1.1981015270326043</v>
      </c>
      <c r="N17" s="1">
        <f t="shared" si="3"/>
        <v>1.1597193561700372</v>
      </c>
    </row>
    <row r="18" spans="1:14" x14ac:dyDescent="0.2">
      <c r="A18">
        <v>34</v>
      </c>
      <c r="B18">
        <v>247.5</v>
      </c>
      <c r="C18">
        <v>162.4</v>
      </c>
      <c r="D18">
        <v>250.9</v>
      </c>
      <c r="E18">
        <v>157.80000000000001</v>
      </c>
      <c r="F18">
        <v>302.10000000000002</v>
      </c>
      <c r="G18">
        <v>89.1</v>
      </c>
      <c r="H18">
        <v>290.89999999999998</v>
      </c>
      <c r="I18">
        <v>86.2</v>
      </c>
      <c r="J18" s="1">
        <f t="shared" si="0"/>
        <v>0.5462610899873257</v>
      </c>
      <c r="K18">
        <v>1</v>
      </c>
      <c r="L18" s="1">
        <f t="shared" si="1"/>
        <v>1.0137373737373738</v>
      </c>
      <c r="M18" s="1">
        <f t="shared" si="2"/>
        <v>1.2206060606060607</v>
      </c>
      <c r="N18" s="1">
        <f t="shared" si="3"/>
        <v>1.1753535353535354</v>
      </c>
    </row>
    <row r="19" spans="1:14" x14ac:dyDescent="0.2">
      <c r="A19">
        <v>36</v>
      </c>
      <c r="B19">
        <v>256.10000000000002</v>
      </c>
      <c r="C19">
        <v>161.1</v>
      </c>
      <c r="D19">
        <v>260</v>
      </c>
      <c r="E19">
        <v>156.80000000000001</v>
      </c>
      <c r="F19">
        <v>311.89999999999998</v>
      </c>
      <c r="G19">
        <v>87.2</v>
      </c>
      <c r="H19">
        <v>303</v>
      </c>
      <c r="I19">
        <v>85</v>
      </c>
      <c r="J19" s="1">
        <f t="shared" si="0"/>
        <v>0.54209183673469385</v>
      </c>
      <c r="K19">
        <v>1</v>
      </c>
      <c r="L19" s="1">
        <f t="shared" si="1"/>
        <v>1.015228426395939</v>
      </c>
      <c r="M19" s="1">
        <f t="shared" si="2"/>
        <v>1.217883639203436</v>
      </c>
      <c r="N19" s="1">
        <f t="shared" si="3"/>
        <v>1.1831315892229597</v>
      </c>
    </row>
    <row r="20" spans="1:14" x14ac:dyDescent="0.2">
      <c r="A20">
        <v>38</v>
      </c>
      <c r="B20">
        <v>263.39999999999998</v>
      </c>
      <c r="C20">
        <v>161.69999999999999</v>
      </c>
      <c r="D20">
        <v>266.89999999999998</v>
      </c>
      <c r="E20">
        <v>157.80000000000001</v>
      </c>
      <c r="F20">
        <v>318.2</v>
      </c>
      <c r="G20">
        <v>91</v>
      </c>
      <c r="H20">
        <v>311.60000000000002</v>
      </c>
      <c r="I20">
        <v>85.9</v>
      </c>
      <c r="J20" s="1">
        <f t="shared" si="0"/>
        <v>0.54435994930291509</v>
      </c>
      <c r="K20">
        <v>1</v>
      </c>
      <c r="L20" s="1">
        <f t="shared" si="1"/>
        <v>1.013287775246773</v>
      </c>
      <c r="M20" s="1">
        <f t="shared" si="2"/>
        <v>1.2080485952923312</v>
      </c>
      <c r="N20" s="1">
        <f t="shared" si="3"/>
        <v>1.1829916476841309</v>
      </c>
    </row>
    <row r="21" spans="1:14" x14ac:dyDescent="0.2">
      <c r="A21">
        <v>40</v>
      </c>
      <c r="B21">
        <v>270</v>
      </c>
      <c r="C21">
        <v>168.9</v>
      </c>
      <c r="D21">
        <v>275.8</v>
      </c>
      <c r="E21">
        <v>164.9</v>
      </c>
      <c r="F21">
        <v>329.8</v>
      </c>
      <c r="G21">
        <v>93.2</v>
      </c>
      <c r="H21">
        <v>324</v>
      </c>
      <c r="I21">
        <v>90.9</v>
      </c>
      <c r="J21" s="1">
        <f t="shared" si="0"/>
        <v>0.55124317768344455</v>
      </c>
      <c r="K21">
        <v>1</v>
      </c>
      <c r="L21" s="1">
        <f t="shared" si="1"/>
        <v>1.0214814814814814</v>
      </c>
      <c r="M21" s="1">
        <f t="shared" si="2"/>
        <v>1.2214814814814816</v>
      </c>
      <c r="N21" s="1">
        <f t="shared" si="3"/>
        <v>1.2</v>
      </c>
    </row>
    <row r="22" spans="1:14" x14ac:dyDescent="0.2">
      <c r="A22">
        <v>60</v>
      </c>
      <c r="B22">
        <v>342.4</v>
      </c>
      <c r="C22">
        <v>310</v>
      </c>
      <c r="D22">
        <v>349.8</v>
      </c>
      <c r="E22">
        <v>304.60000000000002</v>
      </c>
      <c r="F22">
        <v>429.8</v>
      </c>
      <c r="G22">
        <v>173.5</v>
      </c>
      <c r="H22">
        <v>422.7</v>
      </c>
      <c r="I22">
        <v>170.3</v>
      </c>
      <c r="J22" s="1">
        <f t="shared" si="0"/>
        <v>0.55909389363099149</v>
      </c>
      <c r="K22">
        <v>1</v>
      </c>
      <c r="L22" s="1">
        <f t="shared" si="1"/>
        <v>1.0216121495327104</v>
      </c>
      <c r="M22" s="1">
        <f t="shared" si="2"/>
        <v>1.2552570093457944</v>
      </c>
      <c r="N22" s="1">
        <f t="shared" si="3"/>
        <v>1.2345210280373833</v>
      </c>
    </row>
    <row r="23" spans="1:14" x14ac:dyDescent="0.2">
      <c r="A23">
        <v>80</v>
      </c>
      <c r="B23">
        <v>409.9</v>
      </c>
      <c r="C23">
        <v>460</v>
      </c>
      <c r="D23">
        <v>423</v>
      </c>
      <c r="E23">
        <v>450.7</v>
      </c>
      <c r="F23">
        <v>526.6</v>
      </c>
      <c r="G23">
        <v>259.5</v>
      </c>
      <c r="H23">
        <v>520.6</v>
      </c>
      <c r="I23">
        <v>255.3</v>
      </c>
      <c r="J23" s="1">
        <f t="shared" si="0"/>
        <v>0.56645218548923904</v>
      </c>
      <c r="K23">
        <v>1</v>
      </c>
      <c r="L23" s="1">
        <f t="shared" si="1"/>
        <v>1.0319590143937547</v>
      </c>
      <c r="M23" s="1">
        <f t="shared" si="2"/>
        <v>1.2847035862405467</v>
      </c>
      <c r="N23" s="1">
        <f t="shared" si="3"/>
        <v>1.2700658697243232</v>
      </c>
    </row>
    <row r="24" spans="1:14" x14ac:dyDescent="0.2">
      <c r="A24">
        <v>100</v>
      </c>
      <c r="B24">
        <v>479.7</v>
      </c>
      <c r="C24">
        <v>663.7</v>
      </c>
      <c r="D24">
        <v>491.1</v>
      </c>
      <c r="E24">
        <v>651</v>
      </c>
      <c r="F24">
        <v>619.1</v>
      </c>
      <c r="G24">
        <v>376.3</v>
      </c>
      <c r="H24">
        <v>612.70000000000005</v>
      </c>
      <c r="I24">
        <v>369</v>
      </c>
      <c r="J24" s="1">
        <f t="shared" si="0"/>
        <v>0.56682027649769584</v>
      </c>
      <c r="K24">
        <v>1</v>
      </c>
      <c r="L24" s="1">
        <f t="shared" si="1"/>
        <v>1.0237648530331458</v>
      </c>
      <c r="M24" s="1">
        <f t="shared" si="2"/>
        <v>1.2905982905982907</v>
      </c>
      <c r="N24" s="1">
        <f t="shared" si="3"/>
        <v>1.2772566187200334</v>
      </c>
    </row>
    <row r="25" spans="1:14" x14ac:dyDescent="0.2">
      <c r="A25">
        <v>120</v>
      </c>
      <c r="B25">
        <v>560</v>
      </c>
      <c r="C25">
        <v>938.1</v>
      </c>
      <c r="D25">
        <v>567.29999999999995</v>
      </c>
      <c r="E25">
        <v>924.4</v>
      </c>
      <c r="F25">
        <v>721.5</v>
      </c>
      <c r="G25">
        <v>538.9</v>
      </c>
      <c r="H25">
        <v>712.6</v>
      </c>
      <c r="I25">
        <v>531.4</v>
      </c>
      <c r="J25" s="1">
        <f t="shared" si="0"/>
        <v>0.57485936823885764</v>
      </c>
      <c r="K25">
        <v>1</v>
      </c>
      <c r="L25" s="1">
        <f t="shared" si="1"/>
        <v>1.0130357142857143</v>
      </c>
      <c r="M25" s="1">
        <f t="shared" si="2"/>
        <v>1.2883928571428571</v>
      </c>
      <c r="N25" s="1">
        <f t="shared" si="3"/>
        <v>1.2725</v>
      </c>
    </row>
    <row r="26" spans="1:14" x14ac:dyDescent="0.2">
      <c r="A26">
        <v>140</v>
      </c>
      <c r="B26">
        <v>627</v>
      </c>
      <c r="C26">
        <v>1167.5</v>
      </c>
      <c r="D26">
        <v>642.20000000000005</v>
      </c>
      <c r="E26">
        <v>1151.8</v>
      </c>
      <c r="F26">
        <v>813.4</v>
      </c>
      <c r="G26">
        <v>673.7</v>
      </c>
      <c r="H26">
        <v>806.4</v>
      </c>
      <c r="I26">
        <v>657.5</v>
      </c>
      <c r="J26" s="1">
        <f t="shared" si="0"/>
        <v>0.57084563292238233</v>
      </c>
      <c r="K26">
        <v>1</v>
      </c>
      <c r="L26" s="1">
        <f t="shared" si="1"/>
        <v>1.0242424242424244</v>
      </c>
      <c r="M26" s="1">
        <f t="shared" si="2"/>
        <v>1.2972886762360447</v>
      </c>
      <c r="N26" s="1">
        <f t="shared" si="3"/>
        <v>1.2861244019138756</v>
      </c>
    </row>
    <row r="27" spans="1:14" x14ac:dyDescent="0.2">
      <c r="A27">
        <v>160</v>
      </c>
      <c r="B27">
        <v>704.3</v>
      </c>
      <c r="C27">
        <v>1471.3</v>
      </c>
      <c r="D27">
        <v>703.7</v>
      </c>
      <c r="E27">
        <v>1456</v>
      </c>
      <c r="F27">
        <v>911.2</v>
      </c>
      <c r="G27">
        <v>844.3</v>
      </c>
      <c r="H27">
        <v>900.8</v>
      </c>
      <c r="I27">
        <v>828.1</v>
      </c>
      <c r="J27" s="1">
        <f t="shared" si="0"/>
        <v>0.56874999999999998</v>
      </c>
      <c r="K27">
        <v>1</v>
      </c>
      <c r="L27" s="1">
        <f t="shared" si="1"/>
        <v>0.99914809030242813</v>
      </c>
      <c r="M27" s="1">
        <f t="shared" si="2"/>
        <v>1.2937668607127646</v>
      </c>
      <c r="N27" s="1">
        <f t="shared" si="3"/>
        <v>1.2790004259548489</v>
      </c>
    </row>
    <row r="28" spans="1:14" x14ac:dyDescent="0.2">
      <c r="A28">
        <v>180</v>
      </c>
      <c r="B28">
        <v>766</v>
      </c>
      <c r="C28">
        <v>1873.4</v>
      </c>
      <c r="D28">
        <v>784.2</v>
      </c>
      <c r="E28">
        <v>1843.6</v>
      </c>
      <c r="F28">
        <v>1004.5</v>
      </c>
      <c r="G28">
        <v>1060.8</v>
      </c>
      <c r="H28">
        <v>997.2</v>
      </c>
      <c r="I28">
        <v>1043.5999999999999</v>
      </c>
      <c r="J28" s="1">
        <f t="shared" si="0"/>
        <v>0.5660663918420481</v>
      </c>
      <c r="K28">
        <v>1</v>
      </c>
      <c r="L28" s="1">
        <f t="shared" si="1"/>
        <v>1.0237597911227154</v>
      </c>
      <c r="M28" s="1">
        <f t="shared" si="2"/>
        <v>1.3113577023498695</v>
      </c>
      <c r="N28" s="1">
        <f t="shared" si="3"/>
        <v>1.301827676240209</v>
      </c>
    </row>
    <row r="29" spans="1:14" x14ac:dyDescent="0.2">
      <c r="A29">
        <v>200</v>
      </c>
      <c r="B29">
        <v>835.6</v>
      </c>
      <c r="C29">
        <v>2265.3000000000002</v>
      </c>
      <c r="D29">
        <v>856.3</v>
      </c>
      <c r="E29">
        <v>2232.9</v>
      </c>
      <c r="F29">
        <v>1092.7</v>
      </c>
      <c r="G29">
        <v>1272.4000000000001</v>
      </c>
      <c r="H29">
        <v>1089</v>
      </c>
      <c r="I29">
        <v>1255.8</v>
      </c>
      <c r="J29" s="1">
        <f t="shared" si="0"/>
        <v>0.56240763133145233</v>
      </c>
      <c r="K29">
        <v>1</v>
      </c>
      <c r="L29" s="1">
        <f t="shared" si="1"/>
        <v>1.0247726184777404</v>
      </c>
      <c r="M29" s="1">
        <f t="shared" si="2"/>
        <v>1.3076831019626616</v>
      </c>
      <c r="N29" s="1">
        <f t="shared" si="3"/>
        <v>1.3032551460028721</v>
      </c>
    </row>
    <row r="30" spans="1:14" x14ac:dyDescent="0.2">
      <c r="A30">
        <v>300</v>
      </c>
      <c r="B30">
        <v>1197.3</v>
      </c>
      <c r="C30">
        <v>5159.8999999999996</v>
      </c>
      <c r="D30">
        <v>1223.4000000000001</v>
      </c>
      <c r="E30">
        <v>5090.8</v>
      </c>
      <c r="F30">
        <v>1555.6</v>
      </c>
      <c r="G30">
        <v>2775.9</v>
      </c>
      <c r="H30">
        <v>1550.5</v>
      </c>
      <c r="I30">
        <v>2733.7</v>
      </c>
      <c r="J30" s="1">
        <f t="shared" si="0"/>
        <v>0.53698829260627012</v>
      </c>
      <c r="K30">
        <v>1</v>
      </c>
      <c r="L30" s="1">
        <f t="shared" si="1"/>
        <v>1.0217990478576799</v>
      </c>
      <c r="M30" s="1">
        <f t="shared" si="2"/>
        <v>1.2992566608201788</v>
      </c>
      <c r="N30" s="1">
        <f t="shared" si="3"/>
        <v>1.2949970767560344</v>
      </c>
    </row>
    <row r="31" spans="1:14" x14ac:dyDescent="0.2">
      <c r="A31">
        <v>400</v>
      </c>
      <c r="B31">
        <v>1542.8</v>
      </c>
      <c r="C31">
        <v>31282.2</v>
      </c>
      <c r="D31">
        <v>1575.8</v>
      </c>
      <c r="E31">
        <v>46473.5</v>
      </c>
      <c r="F31">
        <v>2002.7</v>
      </c>
      <c r="G31">
        <v>11271.7</v>
      </c>
      <c r="H31">
        <v>1993.3</v>
      </c>
      <c r="I31">
        <v>23294.2</v>
      </c>
      <c r="J31" s="1"/>
      <c r="K31">
        <v>1</v>
      </c>
      <c r="L31" s="1">
        <f t="shared" si="1"/>
        <v>1.0213896810993</v>
      </c>
      <c r="M31" s="1">
        <f t="shared" si="2"/>
        <v>1.2980943738656987</v>
      </c>
      <c r="N31" s="1">
        <f t="shared" si="3"/>
        <v>1.2920015556131708</v>
      </c>
    </row>
    <row r="32" spans="1:14" x14ac:dyDescent="0.2">
      <c r="A32">
        <v>500</v>
      </c>
      <c r="B32">
        <v>1883.7</v>
      </c>
      <c r="C32">
        <v>31983.3</v>
      </c>
      <c r="D32">
        <v>1935.5</v>
      </c>
      <c r="E32">
        <v>49415.6</v>
      </c>
      <c r="F32">
        <v>2445</v>
      </c>
      <c r="G32">
        <v>21332.9</v>
      </c>
      <c r="H32">
        <v>2432.1</v>
      </c>
      <c r="I32">
        <v>17084.8</v>
      </c>
      <c r="J32" s="1"/>
      <c r="K32">
        <v>1</v>
      </c>
      <c r="L32" s="1">
        <f t="shared" si="1"/>
        <v>1.0274990709773317</v>
      </c>
      <c r="M32" s="1">
        <f t="shared" si="2"/>
        <v>1.2979773849339067</v>
      </c>
      <c r="N32" s="1">
        <f t="shared" si="3"/>
        <v>1.291129160694378</v>
      </c>
    </row>
    <row r="33" spans="1:14" x14ac:dyDescent="0.2">
      <c r="A33">
        <v>600</v>
      </c>
      <c r="B33">
        <v>2209.6</v>
      </c>
      <c r="C33">
        <v>21380.6</v>
      </c>
      <c r="D33">
        <v>2285.4</v>
      </c>
      <c r="E33">
        <v>21184.5</v>
      </c>
      <c r="F33">
        <v>2876</v>
      </c>
      <c r="G33">
        <v>9604.7000000000007</v>
      </c>
      <c r="H33">
        <v>2872.2</v>
      </c>
      <c r="I33">
        <v>9571.7000000000007</v>
      </c>
      <c r="J33" s="1">
        <f t="shared" si="0"/>
        <v>0.45182562722745406</v>
      </c>
      <c r="K33">
        <v>1</v>
      </c>
      <c r="L33" s="1">
        <f t="shared" si="1"/>
        <v>1.0343048515568429</v>
      </c>
      <c r="M33" s="1">
        <f t="shared" si="2"/>
        <v>1.3015930485155685</v>
      </c>
      <c r="N33" s="1">
        <f t="shared" si="3"/>
        <v>1.2998732802317161</v>
      </c>
    </row>
    <row r="34" spans="1:14" x14ac:dyDescent="0.2">
      <c r="A34">
        <v>700</v>
      </c>
      <c r="B34">
        <v>2612.5</v>
      </c>
      <c r="C34">
        <v>104613.7</v>
      </c>
      <c r="D34">
        <v>2649.7</v>
      </c>
      <c r="E34">
        <v>88737.1</v>
      </c>
      <c r="F34">
        <v>3304.9</v>
      </c>
      <c r="G34">
        <v>28492</v>
      </c>
      <c r="H34">
        <v>3289.5</v>
      </c>
      <c r="I34">
        <v>33455.4</v>
      </c>
      <c r="J34" s="1">
        <f t="shared" si="0"/>
        <v>0.37701705374640371</v>
      </c>
      <c r="K34">
        <v>1</v>
      </c>
      <c r="L34" s="1">
        <f t="shared" si="1"/>
        <v>1.0142392344497606</v>
      </c>
      <c r="M34" s="1">
        <f t="shared" si="2"/>
        <v>1.2650334928229665</v>
      </c>
      <c r="N34" s="1">
        <f t="shared" si="3"/>
        <v>1.2591387559808613</v>
      </c>
    </row>
    <row r="35" spans="1:14" x14ac:dyDescent="0.2">
      <c r="A35">
        <v>800</v>
      </c>
      <c r="B35">
        <v>2922.5</v>
      </c>
      <c r="C35">
        <v>40334.300000000003</v>
      </c>
      <c r="D35">
        <v>3030.1</v>
      </c>
      <c r="E35">
        <v>40090.699999999997</v>
      </c>
      <c r="F35">
        <v>3712.4</v>
      </c>
      <c r="G35">
        <v>16149.7</v>
      </c>
      <c r="H35">
        <v>3704.2</v>
      </c>
      <c r="I35">
        <v>16052.6</v>
      </c>
      <c r="J35" s="1">
        <f t="shared" si="0"/>
        <v>0.40040707695300909</v>
      </c>
      <c r="K35">
        <v>1</v>
      </c>
      <c r="L35" s="1">
        <f t="shared" si="1"/>
        <v>1.0368177929854576</v>
      </c>
      <c r="M35" s="1">
        <f t="shared" si="2"/>
        <v>1.2702822925577417</v>
      </c>
      <c r="N35" s="1">
        <f t="shared" si="3"/>
        <v>1.2674764756201882</v>
      </c>
    </row>
    <row r="36" spans="1:14" x14ac:dyDescent="0.2">
      <c r="A36">
        <v>900</v>
      </c>
      <c r="B36">
        <v>3258.3</v>
      </c>
      <c r="C36">
        <v>55177.2</v>
      </c>
      <c r="D36">
        <v>3368.4</v>
      </c>
      <c r="E36">
        <v>54975.6</v>
      </c>
      <c r="F36">
        <v>4111.7</v>
      </c>
      <c r="G36">
        <v>20848</v>
      </c>
      <c r="H36">
        <v>4117.2</v>
      </c>
      <c r="I36">
        <v>20759.599999999999</v>
      </c>
      <c r="J36" s="1">
        <f t="shared" si="0"/>
        <v>0.37761479638239509</v>
      </c>
      <c r="K36">
        <v>1</v>
      </c>
      <c r="L36" s="1">
        <f t="shared" si="1"/>
        <v>1.0337906270140871</v>
      </c>
      <c r="M36" s="1">
        <f t="shared" si="2"/>
        <v>1.2619157229229965</v>
      </c>
      <c r="N36" s="1">
        <f t="shared" si="3"/>
        <v>1.263603719731148</v>
      </c>
    </row>
    <row r="37" spans="1:14" x14ac:dyDescent="0.2">
      <c r="A37">
        <v>1000</v>
      </c>
      <c r="J37" s="1" t="e">
        <f t="shared" si="0"/>
        <v>#DIV/0!</v>
      </c>
      <c r="K37">
        <v>1</v>
      </c>
      <c r="L37" s="1" t="e">
        <f t="shared" si="1"/>
        <v>#DIV/0!</v>
      </c>
      <c r="M37" s="1" t="e">
        <f t="shared" si="2"/>
        <v>#DIV/0!</v>
      </c>
      <c r="N37" s="1" t="e">
        <f t="shared" si="3"/>
        <v>#DIV/0!</v>
      </c>
    </row>
    <row r="38" spans="1:14" x14ac:dyDescent="0.2">
      <c r="J38" s="1"/>
    </row>
    <row r="39" spans="1:14" x14ac:dyDescent="0.2">
      <c r="J39" s="1"/>
    </row>
    <row r="40" spans="1:14" x14ac:dyDescent="0.2">
      <c r="J40" s="1"/>
    </row>
    <row r="41" spans="1:14" x14ac:dyDescent="0.2">
      <c r="J41" s="1"/>
    </row>
    <row r="42" spans="1:14" x14ac:dyDescent="0.2">
      <c r="J42" s="1"/>
    </row>
    <row r="43" spans="1:14" x14ac:dyDescent="0.2">
      <c r="J43" s="1"/>
    </row>
    <row r="44" spans="1:14" x14ac:dyDescent="0.2">
      <c r="J44" s="1"/>
    </row>
    <row r="45" spans="1:14" x14ac:dyDescent="0.2">
      <c r="J45" s="1"/>
    </row>
    <row r="46" spans="1:14" x14ac:dyDescent="0.2">
      <c r="J46" s="1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B48C-133A-6645-9E91-1453E2D1AD2A}">
  <dimension ref="A1:F49"/>
  <sheetViews>
    <sheetView topLeftCell="A6" zoomScale="135" workbookViewId="0">
      <selection activeCell="K33" sqref="K33"/>
    </sheetView>
  </sheetViews>
  <sheetFormatPr baseColWidth="10" defaultRowHeight="16" x14ac:dyDescent="0.2"/>
  <sheetData>
    <row r="1" spans="1:6" x14ac:dyDescent="0.2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2">
      <c r="A2">
        <v>2</v>
      </c>
      <c r="B2" s="7">
        <v>2.5</v>
      </c>
      <c r="C2" s="7">
        <v>2.3333333333333335</v>
      </c>
      <c r="D2" s="7">
        <v>1.2941176470588236</v>
      </c>
      <c r="E2" s="7">
        <v>0.78787878787878796</v>
      </c>
      <c r="F2" s="7">
        <v>0.8640000000000001</v>
      </c>
    </row>
    <row r="3" spans="1:6" x14ac:dyDescent="0.2">
      <c r="A3">
        <v>4</v>
      </c>
      <c r="B3" s="7">
        <v>1.736842105263158</v>
      </c>
      <c r="C3" s="7">
        <v>2.1333333333333333</v>
      </c>
      <c r="D3" s="7">
        <v>1.0606060606060606</v>
      </c>
      <c r="E3" s="7">
        <v>0.7567567567567568</v>
      </c>
      <c r="F3" s="7">
        <v>0.74725274725274726</v>
      </c>
    </row>
    <row r="4" spans="1:6" x14ac:dyDescent="0.2">
      <c r="A4">
        <v>6</v>
      </c>
      <c r="B4" s="7">
        <v>1.5</v>
      </c>
      <c r="C4" s="7">
        <v>1.8</v>
      </c>
      <c r="D4" s="7">
        <v>1.0108695652173914</v>
      </c>
      <c r="E4" s="7">
        <v>0.64462809917355368</v>
      </c>
      <c r="F4" s="7">
        <v>0.67460317460317465</v>
      </c>
    </row>
    <row r="5" spans="1:6" x14ac:dyDescent="0.2">
      <c r="A5">
        <v>8</v>
      </c>
      <c r="B5" s="7">
        <v>1.3235294117647058</v>
      </c>
      <c r="C5" s="7">
        <v>1.6666666666666665</v>
      </c>
      <c r="D5" s="7">
        <v>0.90566037735849059</v>
      </c>
      <c r="E5" s="7">
        <v>0.60897435897435903</v>
      </c>
      <c r="F5" s="7">
        <v>0.64353312302839116</v>
      </c>
    </row>
    <row r="6" spans="1:6" x14ac:dyDescent="0.2">
      <c r="A6">
        <v>10</v>
      </c>
      <c r="B6" s="7">
        <v>1.2439024390243902</v>
      </c>
      <c r="C6" s="7">
        <v>1.4374999999999998</v>
      </c>
      <c r="D6" s="7">
        <v>0.87121212121212122</v>
      </c>
      <c r="E6" s="7">
        <v>0.56509695290858719</v>
      </c>
      <c r="F6" s="7">
        <v>0.60212201591511927</v>
      </c>
    </row>
    <row r="7" spans="1:6" x14ac:dyDescent="0.2">
      <c r="A7">
        <v>12</v>
      </c>
      <c r="B7" s="7">
        <v>1.1020408163265305</v>
      </c>
      <c r="C7" s="7">
        <v>1.325</v>
      </c>
      <c r="D7" s="7">
        <v>0.80536912751677847</v>
      </c>
      <c r="E7" s="7">
        <v>0.55797101449275366</v>
      </c>
      <c r="F7" s="7">
        <v>0.5803571428571429</v>
      </c>
    </row>
    <row r="8" spans="1:6" x14ac:dyDescent="0.2">
      <c r="A8">
        <v>14</v>
      </c>
      <c r="B8" s="7">
        <v>1.0535714285714286</v>
      </c>
      <c r="C8" s="7">
        <v>1.24</v>
      </c>
      <c r="D8" s="7">
        <v>0.78787878787878785</v>
      </c>
      <c r="E8" s="7">
        <v>0.55486542443064191</v>
      </c>
      <c r="F8" s="7">
        <v>0.59081836327345305</v>
      </c>
    </row>
    <row r="9" spans="1:6" x14ac:dyDescent="0.2">
      <c r="A9">
        <v>16</v>
      </c>
      <c r="B9" s="7">
        <v>1.015625</v>
      </c>
      <c r="C9" s="7">
        <v>1.1538461538461537</v>
      </c>
      <c r="D9" s="7">
        <v>0.73134328358208944</v>
      </c>
      <c r="E9" s="7">
        <v>0.52602230483271384</v>
      </c>
      <c r="F9" s="7">
        <v>0.57913043478260862</v>
      </c>
    </row>
    <row r="10" spans="1:6" x14ac:dyDescent="0.2">
      <c r="A10">
        <v>18</v>
      </c>
      <c r="B10" s="7">
        <v>0.92207792207792205</v>
      </c>
      <c r="C10" s="7">
        <v>1.1724137931034482</v>
      </c>
      <c r="D10" s="7">
        <v>0.73148148148148151</v>
      </c>
      <c r="E10" s="7">
        <v>0.5160744500846024</v>
      </c>
      <c r="F10" s="7">
        <v>0.57650695517774331</v>
      </c>
    </row>
    <row r="11" spans="1:6" x14ac:dyDescent="0.2">
      <c r="A11">
        <v>20</v>
      </c>
      <c r="B11" s="7">
        <v>0.91666666666666663</v>
      </c>
      <c r="C11" s="7">
        <v>1.0634920634920635</v>
      </c>
      <c r="D11" s="7">
        <v>0.71729957805907174</v>
      </c>
      <c r="E11" s="7">
        <v>0.54216867469879515</v>
      </c>
      <c r="F11" s="7">
        <v>0.55967078189300401</v>
      </c>
    </row>
    <row r="12" spans="1:6" x14ac:dyDescent="0.2">
      <c r="A12">
        <v>22</v>
      </c>
      <c r="B12" s="7">
        <v>0.92783505154639179</v>
      </c>
      <c r="C12" s="7">
        <v>1.0144927536231882</v>
      </c>
      <c r="D12" s="7">
        <v>0.71485943775100413</v>
      </c>
      <c r="E12" s="7">
        <v>0.51494565217391308</v>
      </c>
      <c r="F12" s="7">
        <v>0.55337423312883438</v>
      </c>
    </row>
    <row r="13" spans="1:6" x14ac:dyDescent="0.2">
      <c r="A13">
        <v>24</v>
      </c>
      <c r="B13" s="7">
        <v>0.85470085470085477</v>
      </c>
      <c r="C13" s="7">
        <v>1.0370370370370372</v>
      </c>
      <c r="D13" s="7">
        <v>0.68953068592057765</v>
      </c>
      <c r="E13" s="7">
        <v>0.5216881594372802</v>
      </c>
      <c r="F13" s="7">
        <v>0.55239179954441919</v>
      </c>
    </row>
    <row r="14" spans="1:6" x14ac:dyDescent="0.2">
      <c r="A14">
        <v>26</v>
      </c>
      <c r="B14" s="7">
        <v>0.87857142857142867</v>
      </c>
      <c r="C14" s="7">
        <v>0.95959595959595956</v>
      </c>
      <c r="D14" s="7">
        <v>0.65972222222222221</v>
      </c>
      <c r="E14" s="7">
        <v>0.51995685005393744</v>
      </c>
      <c r="F14" s="7">
        <v>0.55233160621761657</v>
      </c>
    </row>
    <row r="15" spans="1:6" x14ac:dyDescent="0.2">
      <c r="A15">
        <v>28</v>
      </c>
      <c r="B15" s="7">
        <v>0.85517241379310349</v>
      </c>
      <c r="C15" s="7">
        <v>0.94736842105263164</v>
      </c>
      <c r="D15" s="7">
        <v>0.64504504504504501</v>
      </c>
      <c r="E15" s="7">
        <v>0.50928641251221896</v>
      </c>
      <c r="F15" s="7">
        <v>0.53700189753320682</v>
      </c>
    </row>
    <row r="16" spans="1:6" x14ac:dyDescent="0.2">
      <c r="A16">
        <v>30</v>
      </c>
      <c r="B16" s="7">
        <v>0.83544303797468344</v>
      </c>
      <c r="C16" s="7">
        <v>0.93661971830985924</v>
      </c>
      <c r="D16" s="7">
        <v>0.66161616161616155</v>
      </c>
      <c r="E16" s="7">
        <v>0.50408719346049047</v>
      </c>
      <c r="F16" s="7">
        <v>0.54363001745200701</v>
      </c>
    </row>
    <row r="17" spans="1:6" x14ac:dyDescent="0.2">
      <c r="A17">
        <v>32</v>
      </c>
      <c r="B17" s="7">
        <v>0.79899497487437199</v>
      </c>
      <c r="C17" s="7">
        <v>0.91549295774647887</v>
      </c>
      <c r="D17" s="7">
        <v>0.65897435897435896</v>
      </c>
      <c r="E17" s="7">
        <v>0.49956784788245456</v>
      </c>
      <c r="F17" s="7">
        <v>0.54340836012861726</v>
      </c>
    </row>
    <row r="18" spans="1:6" x14ac:dyDescent="0.2">
      <c r="A18">
        <v>34</v>
      </c>
      <c r="B18" s="7">
        <v>0.80327868852459028</v>
      </c>
      <c r="C18" s="7">
        <v>0.87179487179487181</v>
      </c>
      <c r="D18" s="7">
        <v>0.63938053097345127</v>
      </c>
      <c r="E18" s="7">
        <v>0.51322314049586781</v>
      </c>
      <c r="F18" s="7">
        <v>0.5462610899873257</v>
      </c>
    </row>
    <row r="19" spans="1:6" x14ac:dyDescent="0.2">
      <c r="A19">
        <v>36</v>
      </c>
      <c r="B19" s="7">
        <v>0.75824175824175821</v>
      </c>
      <c r="C19" s="7">
        <v>0.87421383647798745</v>
      </c>
      <c r="D19" s="7">
        <v>0.64301552106430149</v>
      </c>
      <c r="E19" s="7">
        <v>0.51180502665651173</v>
      </c>
      <c r="F19" s="7">
        <v>0.54209183673469385</v>
      </c>
    </row>
    <row r="20" spans="1:6" x14ac:dyDescent="0.2">
      <c r="A20">
        <v>38</v>
      </c>
      <c r="B20" s="7">
        <v>0.74733096085409245</v>
      </c>
      <c r="C20" s="7">
        <v>0.86309523809523803</v>
      </c>
      <c r="D20" s="7">
        <v>0.64742268041237105</v>
      </c>
      <c r="E20" s="7">
        <v>0.51296829971181557</v>
      </c>
      <c r="F20" s="7">
        <v>0.54435994930291509</v>
      </c>
    </row>
    <row r="21" spans="1:6" x14ac:dyDescent="0.2">
      <c r="A21">
        <v>40</v>
      </c>
      <c r="B21" s="7">
        <v>0.7432432432432432</v>
      </c>
      <c r="C21" s="7">
        <v>0.82584269662921339</v>
      </c>
      <c r="D21" s="7">
        <v>0.64426877470355737</v>
      </c>
      <c r="E21" s="7">
        <v>0.51184834123222744</v>
      </c>
      <c r="F21" s="7">
        <v>0.55124317768344455</v>
      </c>
    </row>
    <row r="22" spans="1:6" x14ac:dyDescent="0.2">
      <c r="A22">
        <v>60</v>
      </c>
      <c r="B22" s="7">
        <v>0.67621145374449343</v>
      </c>
      <c r="C22" s="7">
        <v>0.74329501915708807</v>
      </c>
      <c r="D22" s="7">
        <v>0.60359408033826645</v>
      </c>
      <c r="E22" s="7">
        <v>0.52473704713673541</v>
      </c>
      <c r="F22" s="7">
        <v>0.55909389363099149</v>
      </c>
    </row>
    <row r="23" spans="1:6" x14ac:dyDescent="0.2">
      <c r="A23">
        <v>80</v>
      </c>
      <c r="B23" s="7">
        <v>0.61271676300578026</v>
      </c>
      <c r="C23" s="7">
        <v>0.69761273209549068</v>
      </c>
      <c r="D23" s="7">
        <v>0.58247775496235454</v>
      </c>
      <c r="E23" s="7">
        <v>0.54294551510825595</v>
      </c>
      <c r="F23" s="7">
        <v>0.56645218548923904</v>
      </c>
    </row>
    <row r="24" spans="1:6" x14ac:dyDescent="0.2">
      <c r="A24">
        <v>100</v>
      </c>
      <c r="B24" s="7">
        <v>0.59046587215601298</v>
      </c>
      <c r="C24" s="7">
        <v>0.64187866927592951</v>
      </c>
      <c r="D24" s="7">
        <v>0.57674199623352163</v>
      </c>
      <c r="E24" s="7">
        <v>0.55352257181942544</v>
      </c>
      <c r="F24" s="7">
        <v>0.56682027649769584</v>
      </c>
    </row>
    <row r="25" spans="1:6" x14ac:dyDescent="0.2">
      <c r="A25">
        <v>120</v>
      </c>
      <c r="B25" s="7">
        <v>0.56130108423686398</v>
      </c>
      <c r="C25" s="7">
        <v>0.61310452418096728</v>
      </c>
      <c r="D25" s="7">
        <v>0.55918499353169471</v>
      </c>
      <c r="E25" s="7">
        <v>0.55544758897121349</v>
      </c>
      <c r="F25" s="7">
        <v>0.57485936823885764</v>
      </c>
    </row>
    <row r="26" spans="1:6" x14ac:dyDescent="0.2">
      <c r="A26">
        <v>140</v>
      </c>
      <c r="B26" s="7">
        <v>0.53506620892594403</v>
      </c>
      <c r="C26" s="7">
        <v>0.59411011523687585</v>
      </c>
      <c r="D26" s="7">
        <v>0.54483925549915402</v>
      </c>
      <c r="E26" s="7"/>
      <c r="F26" s="7">
        <v>0.57084563292238233</v>
      </c>
    </row>
    <row r="27" spans="1:6" x14ac:dyDescent="0.2">
      <c r="A27">
        <v>160</v>
      </c>
      <c r="B27" s="7">
        <v>0.51824431517715497</v>
      </c>
      <c r="C27" s="7">
        <v>0.54211663066954641</v>
      </c>
      <c r="D27" s="7">
        <v>0.53127354935945748</v>
      </c>
      <c r="E27" s="7"/>
      <c r="F27" s="7">
        <v>0.56874999999999998</v>
      </c>
    </row>
    <row r="28" spans="1:6" x14ac:dyDescent="0.2">
      <c r="A28">
        <v>180</v>
      </c>
      <c r="B28" s="7">
        <v>0.49758454106280192</v>
      </c>
      <c r="C28" s="7">
        <v>0.54637436762225966</v>
      </c>
      <c r="D28" s="7">
        <v>0.52087336244541482</v>
      </c>
      <c r="E28" s="7"/>
      <c r="F28" s="7">
        <v>0.5660663918420481</v>
      </c>
    </row>
    <row r="29" spans="1:6" x14ac:dyDescent="0.2">
      <c r="A29">
        <v>200</v>
      </c>
      <c r="B29" s="7">
        <v>0.48476257973068754</v>
      </c>
      <c r="C29" s="7">
        <v>0.53048297703879654</v>
      </c>
      <c r="D29" s="7">
        <v>0.51155984781972497</v>
      </c>
      <c r="E29" s="7"/>
      <c r="F29" s="7">
        <v>0.56240763133145233</v>
      </c>
    </row>
    <row r="30" spans="1:6" x14ac:dyDescent="0.2">
      <c r="A30">
        <v>300</v>
      </c>
      <c r="B30" s="7">
        <v>0.42991936867387204</v>
      </c>
      <c r="C30" s="7">
        <v>0.48534635879218474</v>
      </c>
      <c r="D30" s="7">
        <v>0.4594255529877847</v>
      </c>
      <c r="E30" s="7">
        <v>0.53531684519815836</v>
      </c>
      <c r="F30" s="7">
        <v>0.53698829260627012</v>
      </c>
    </row>
    <row r="31" spans="1:6" x14ac:dyDescent="0.2">
      <c r="A31">
        <v>400</v>
      </c>
      <c r="B31" s="7">
        <v>0.38625670204617574</v>
      </c>
      <c r="C31" s="7">
        <v>0.45255474452554745</v>
      </c>
      <c r="D31" s="7">
        <v>0.4214340899893308</v>
      </c>
      <c r="E31" s="7">
        <v>0.51437764606265879</v>
      </c>
      <c r="F31" s="7"/>
    </row>
    <row r="32" spans="1:6" x14ac:dyDescent="0.2">
      <c r="A32">
        <v>500</v>
      </c>
      <c r="B32" s="7">
        <v>0.3572403822986106</v>
      </c>
      <c r="C32" s="7">
        <v>0.43067484662576688</v>
      </c>
      <c r="D32" s="7">
        <v>0.38760746487733277</v>
      </c>
      <c r="E32" s="7">
        <v>0.48131612515945071</v>
      </c>
      <c r="F32" s="7"/>
    </row>
    <row r="33" spans="1:6" x14ac:dyDescent="0.2">
      <c r="A33">
        <v>600</v>
      </c>
      <c r="B33" s="7">
        <v>0.3376307034220532</v>
      </c>
      <c r="C33" s="7">
        <v>0.40670721683379918</v>
      </c>
      <c r="D33" s="7">
        <v>0.35851828197349517</v>
      </c>
      <c r="E33" s="7">
        <v>0.45146402038010164</v>
      </c>
      <c r="F33" s="7">
        <v>0.45182562722745406</v>
      </c>
    </row>
    <row r="34" spans="1:6" x14ac:dyDescent="0.2">
      <c r="A34">
        <v>700</v>
      </c>
      <c r="B34" s="7">
        <v>0.31706750858946975</v>
      </c>
      <c r="C34" s="7">
        <v>0.39116125999059709</v>
      </c>
      <c r="D34" s="7">
        <v>0.33258963949136222</v>
      </c>
      <c r="E34" s="7">
        <v>0.42834042871013522</v>
      </c>
      <c r="F34" s="7">
        <v>0.37701705374640371</v>
      </c>
    </row>
    <row r="35" spans="1:6" x14ac:dyDescent="0.2">
      <c r="A35">
        <v>800</v>
      </c>
      <c r="B35" s="7">
        <v>0.29839948128178001</v>
      </c>
      <c r="C35" s="7">
        <v>0.37948512738428702</v>
      </c>
      <c r="D35" s="7">
        <v>0.31196698762035763</v>
      </c>
      <c r="E35" s="7">
        <v>0.40866185738532029</v>
      </c>
      <c r="F35" s="7">
        <v>0.40040707695300909</v>
      </c>
    </row>
    <row r="36" spans="1:6" x14ac:dyDescent="0.2">
      <c r="A36">
        <v>900</v>
      </c>
      <c r="B36" s="7">
        <v>0.28536254737599248</v>
      </c>
      <c r="C36" s="7">
        <v>0.36676182201812085</v>
      </c>
      <c r="D36" s="7"/>
      <c r="F36" s="7">
        <v>0.37761479638239509</v>
      </c>
    </row>
    <row r="37" spans="1:6" x14ac:dyDescent="0.2">
      <c r="A37">
        <v>1000</v>
      </c>
      <c r="B37" s="7">
        <v>0.27427818258685438</v>
      </c>
      <c r="C37" s="7">
        <v>0.35405657444824368</v>
      </c>
      <c r="D37" s="7"/>
    </row>
    <row r="38" spans="1:6" x14ac:dyDescent="0.2">
      <c r="A38">
        <v>1100</v>
      </c>
      <c r="B38" s="7">
        <v>0.26047296471106107</v>
      </c>
      <c r="C38" s="7">
        <v>0.34936759286923613</v>
      </c>
      <c r="D38" s="7">
        <v>0.25881910297494715</v>
      </c>
    </row>
    <row r="39" spans="1:6" x14ac:dyDescent="0.2">
      <c r="A39">
        <v>1200</v>
      </c>
      <c r="B39" s="7">
        <v>0.25179586482603533</v>
      </c>
      <c r="C39" s="7">
        <v>0.34108729743857819</v>
      </c>
    </row>
    <row r="40" spans="1:6" x14ac:dyDescent="0.2">
      <c r="A40">
        <v>1300</v>
      </c>
      <c r="B40" s="7">
        <v>0.24467687074829933</v>
      </c>
      <c r="C40" s="7">
        <v>0.33322784810126582</v>
      </c>
    </row>
    <row r="41" spans="1:6" x14ac:dyDescent="0.2">
      <c r="A41">
        <v>1400</v>
      </c>
      <c r="B41" s="7">
        <v>0.23727919852359608</v>
      </c>
      <c r="C41" s="7">
        <v>0.33004791238877479</v>
      </c>
    </row>
    <row r="42" spans="1:6" x14ac:dyDescent="0.2">
      <c r="A42">
        <v>1500</v>
      </c>
      <c r="B42" s="7">
        <v>0.23019002734305227</v>
      </c>
      <c r="C42" s="7">
        <v>0.32086687306501549</v>
      </c>
    </row>
    <row r="43" spans="1:6" x14ac:dyDescent="0.2">
      <c r="A43">
        <v>1600</v>
      </c>
      <c r="B43" s="7"/>
      <c r="C43" s="7">
        <v>0.31543921916592726</v>
      </c>
    </row>
    <row r="44" spans="1:6" x14ac:dyDescent="0.2">
      <c r="A44">
        <v>1700</v>
      </c>
      <c r="B44" s="7"/>
      <c r="C44" s="7">
        <v>0.3135810926528515</v>
      </c>
    </row>
    <row r="45" spans="1:6" x14ac:dyDescent="0.2">
      <c r="A45">
        <v>1800</v>
      </c>
      <c r="B45" s="7">
        <v>0.21461160562284157</v>
      </c>
      <c r="C45" s="7">
        <v>0.30778420523138833</v>
      </c>
    </row>
    <row r="46" spans="1:6" x14ac:dyDescent="0.2">
      <c r="A46">
        <v>1900</v>
      </c>
      <c r="B46" s="7">
        <v>0.20966088777146061</v>
      </c>
      <c r="C46" s="7">
        <v>0.30111699000587894</v>
      </c>
    </row>
    <row r="47" spans="1:6" x14ac:dyDescent="0.2">
      <c r="B47" s="7"/>
    </row>
    <row r="48" spans="1:6" x14ac:dyDescent="0.2">
      <c r="B48" s="7"/>
    </row>
    <row r="49" spans="2:2" x14ac:dyDescent="0.2">
      <c r="B49" s="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ADA0-3FD9-B748-A167-0AF6A36FD04E}">
  <dimension ref="B1:M45"/>
  <sheetViews>
    <sheetView workbookViewId="0">
      <selection activeCell="I1" sqref="I1"/>
    </sheetView>
  </sheetViews>
  <sheetFormatPr baseColWidth="10" defaultRowHeight="16" x14ac:dyDescent="0.2"/>
  <cols>
    <col min="2" max="2" width="16.83203125" customWidth="1"/>
    <col min="3" max="3" width="10" customWidth="1"/>
    <col min="4" max="4" width="5.83203125" customWidth="1"/>
    <col min="5" max="5" width="9.1640625" customWidth="1"/>
    <col min="6" max="6" width="8.83203125" customWidth="1"/>
    <col min="7" max="7" width="8.1640625" customWidth="1"/>
    <col min="8" max="8" width="6.1640625" bestFit="1" customWidth="1"/>
    <col min="9" max="10" width="10.83203125" customWidth="1"/>
    <col min="11" max="11" width="7.83203125" customWidth="1"/>
    <col min="12" max="12" width="8.83203125" customWidth="1"/>
  </cols>
  <sheetData>
    <row r="1" spans="2:13" x14ac:dyDescent="0.2">
      <c r="I1" s="6"/>
    </row>
    <row r="3" spans="2:13" x14ac:dyDescent="0.2">
      <c r="B3" s="3" t="s">
        <v>55</v>
      </c>
      <c r="C3" s="3" t="s">
        <v>10</v>
      </c>
      <c r="D3" s="4" t="s">
        <v>56</v>
      </c>
      <c r="E3" s="4" t="s">
        <v>62</v>
      </c>
      <c r="F3" s="4" t="s">
        <v>11</v>
      </c>
      <c r="G3" s="4" t="s">
        <v>63</v>
      </c>
      <c r="H3" s="4" t="s">
        <v>58</v>
      </c>
      <c r="I3" s="4" t="s">
        <v>65</v>
      </c>
      <c r="J3" s="4" t="s">
        <v>12</v>
      </c>
      <c r="K3" s="4" t="s">
        <v>59</v>
      </c>
      <c r="L3" s="4" t="s">
        <v>54</v>
      </c>
      <c r="M3" s="4" t="s">
        <v>64</v>
      </c>
    </row>
    <row r="4" spans="2:13" x14ac:dyDescent="0.2">
      <c r="B4" t="s">
        <v>13</v>
      </c>
      <c r="C4" t="s">
        <v>14</v>
      </c>
      <c r="D4">
        <v>14</v>
      </c>
      <c r="E4">
        <v>1488</v>
      </c>
      <c r="F4">
        <v>7641</v>
      </c>
      <c r="G4">
        <v>115.21801499999999</v>
      </c>
      <c r="H4">
        <v>12419</v>
      </c>
      <c r="I4">
        <v>273.029291</v>
      </c>
      <c r="J4">
        <v>10625</v>
      </c>
      <c r="K4" s="2">
        <f t="shared" ref="K4:K40" si="0">F4/H4-1</f>
        <v>-0.38473307029551496</v>
      </c>
      <c r="L4" s="1">
        <f t="shared" ref="L4:L40" si="1">J4/F4-1</f>
        <v>0.39052480041879334</v>
      </c>
      <c r="M4" s="2">
        <f t="shared" ref="M4:M40" si="2">G4/I4-1</f>
        <v>-0.57800126653810202</v>
      </c>
    </row>
    <row r="5" spans="2:13" x14ac:dyDescent="0.2">
      <c r="B5" t="s">
        <v>15</v>
      </c>
      <c r="C5" t="s">
        <v>14</v>
      </c>
      <c r="D5">
        <v>14</v>
      </c>
      <c r="E5">
        <v>1488</v>
      </c>
      <c r="F5">
        <v>5000</v>
      </c>
      <c r="G5">
        <v>81.148252999999997</v>
      </c>
      <c r="H5">
        <v>12181</v>
      </c>
      <c r="I5">
        <v>284.52725500000003</v>
      </c>
      <c r="J5">
        <v>8085</v>
      </c>
      <c r="K5" s="2">
        <f t="shared" si="0"/>
        <v>-0.58952466956735905</v>
      </c>
      <c r="L5" s="1">
        <f t="shared" si="1"/>
        <v>0.61699999999999999</v>
      </c>
      <c r="M5" s="2">
        <f t="shared" si="2"/>
        <v>-0.71479620467290561</v>
      </c>
    </row>
    <row r="6" spans="2:13" x14ac:dyDescent="0.2">
      <c r="B6" t="s">
        <v>16</v>
      </c>
      <c r="C6" t="s">
        <v>14</v>
      </c>
      <c r="D6">
        <v>12</v>
      </c>
      <c r="E6">
        <v>1085</v>
      </c>
      <c r="F6">
        <v>3133</v>
      </c>
      <c r="G6">
        <v>33.076317000000003</v>
      </c>
      <c r="H6">
        <v>8482</v>
      </c>
      <c r="I6">
        <v>129.12428800000001</v>
      </c>
      <c r="J6">
        <v>3160</v>
      </c>
      <c r="K6" s="2">
        <f t="shared" si="0"/>
        <v>-0.63062956849799567</v>
      </c>
      <c r="L6" s="1">
        <f t="shared" si="1"/>
        <v>8.6179380785189608E-3</v>
      </c>
      <c r="M6" s="2">
        <f t="shared" si="2"/>
        <v>-0.74384124387195072</v>
      </c>
    </row>
    <row r="7" spans="2:13" x14ac:dyDescent="0.2">
      <c r="B7" t="s">
        <v>18</v>
      </c>
      <c r="C7" t="s">
        <v>17</v>
      </c>
      <c r="D7">
        <v>18</v>
      </c>
      <c r="E7">
        <v>2950</v>
      </c>
      <c r="F7">
        <v>21046</v>
      </c>
      <c r="G7">
        <v>461.34287899999998</v>
      </c>
      <c r="H7">
        <v>37786</v>
      </c>
      <c r="I7">
        <v>2522.6866450000002</v>
      </c>
      <c r="J7">
        <v>14622</v>
      </c>
      <c r="K7" s="2">
        <f t="shared" si="0"/>
        <v>-0.44302122479225114</v>
      </c>
      <c r="L7" s="2">
        <f t="shared" si="1"/>
        <v>-0.3052361493870569</v>
      </c>
      <c r="M7" s="2">
        <f t="shared" si="2"/>
        <v>-0.81712240007517867</v>
      </c>
    </row>
    <row r="8" spans="2:13" x14ac:dyDescent="0.2">
      <c r="B8" t="s">
        <v>19</v>
      </c>
      <c r="C8" t="s">
        <v>14</v>
      </c>
      <c r="D8">
        <v>14</v>
      </c>
      <c r="E8">
        <v>1488</v>
      </c>
      <c r="F8">
        <v>7893</v>
      </c>
      <c r="G8">
        <v>132.73884000000001</v>
      </c>
      <c r="H8">
        <v>12919</v>
      </c>
      <c r="I8">
        <v>346.42907000000002</v>
      </c>
      <c r="J8">
        <v>8778</v>
      </c>
      <c r="K8" s="2">
        <f t="shared" si="0"/>
        <v>-0.38903939933431375</v>
      </c>
      <c r="L8" s="1">
        <f t="shared" si="1"/>
        <v>0.11212466742683391</v>
      </c>
      <c r="M8" s="2">
        <f t="shared" si="2"/>
        <v>-0.61683688958319816</v>
      </c>
    </row>
    <row r="9" spans="2:13" x14ac:dyDescent="0.2">
      <c r="B9" t="s">
        <v>20</v>
      </c>
      <c r="C9" t="s">
        <v>14</v>
      </c>
      <c r="D9">
        <v>14</v>
      </c>
      <c r="E9">
        <v>1488</v>
      </c>
      <c r="F9">
        <v>10567</v>
      </c>
      <c r="G9">
        <v>161.85106200000001</v>
      </c>
      <c r="H9">
        <v>13433</v>
      </c>
      <c r="I9">
        <v>306.45082100000002</v>
      </c>
      <c r="J9">
        <v>7464</v>
      </c>
      <c r="K9" s="2">
        <f t="shared" si="0"/>
        <v>-0.21335517010347649</v>
      </c>
      <c r="L9" s="2">
        <f t="shared" si="1"/>
        <v>-0.29365004258540739</v>
      </c>
      <c r="M9" s="2">
        <f t="shared" si="2"/>
        <v>-0.47185306447588204</v>
      </c>
    </row>
    <row r="10" spans="2:13" x14ac:dyDescent="0.2">
      <c r="B10" t="s">
        <v>21</v>
      </c>
      <c r="C10" t="s">
        <v>14</v>
      </c>
      <c r="D10">
        <v>12</v>
      </c>
      <c r="E10">
        <v>2109</v>
      </c>
      <c r="F10">
        <v>4962</v>
      </c>
      <c r="G10">
        <v>85.607489999999999</v>
      </c>
      <c r="H10">
        <v>14909</v>
      </c>
      <c r="I10">
        <v>560.85743500000001</v>
      </c>
      <c r="J10">
        <v>4532</v>
      </c>
      <c r="K10" s="2">
        <f t="shared" si="0"/>
        <v>-0.6671808974444966</v>
      </c>
      <c r="L10" s="2">
        <f t="shared" si="1"/>
        <v>-8.6658605401047972E-2</v>
      </c>
      <c r="M10" s="2">
        <f t="shared" si="2"/>
        <v>-0.84736318954209811</v>
      </c>
    </row>
    <row r="11" spans="2:13" x14ac:dyDescent="0.2">
      <c r="B11" t="s">
        <v>22</v>
      </c>
      <c r="C11" t="s">
        <v>14</v>
      </c>
      <c r="D11">
        <v>14</v>
      </c>
      <c r="E11">
        <v>1000</v>
      </c>
      <c r="F11">
        <v>5320</v>
      </c>
      <c r="G11">
        <v>49.378607000000002</v>
      </c>
      <c r="H11">
        <v>8675</v>
      </c>
      <c r="I11">
        <v>105.78508100000001</v>
      </c>
      <c r="J11">
        <v>7590</v>
      </c>
      <c r="K11" s="2">
        <f t="shared" si="0"/>
        <v>-0.3867435158501441</v>
      </c>
      <c r="L11" s="1">
        <f t="shared" si="1"/>
        <v>0.42669172932330834</v>
      </c>
      <c r="M11" s="2">
        <f t="shared" si="2"/>
        <v>-0.53321766610926924</v>
      </c>
    </row>
    <row r="12" spans="2:13" x14ac:dyDescent="0.2">
      <c r="B12" t="s">
        <v>23</v>
      </c>
      <c r="C12" t="s">
        <v>14</v>
      </c>
      <c r="D12">
        <v>14</v>
      </c>
      <c r="E12">
        <v>1000</v>
      </c>
      <c r="F12">
        <v>4252</v>
      </c>
      <c r="G12">
        <v>36.524329999999999</v>
      </c>
      <c r="H12">
        <v>7967</v>
      </c>
      <c r="I12">
        <v>87.638071999999994</v>
      </c>
      <c r="J12">
        <v>3406</v>
      </c>
      <c r="K12" s="2">
        <f t="shared" si="0"/>
        <v>-0.46629848123509476</v>
      </c>
      <c r="L12" s="2">
        <f t="shared" si="1"/>
        <v>-0.19896519285042336</v>
      </c>
      <c r="M12" s="2">
        <f t="shared" si="2"/>
        <v>-0.58323672387498438</v>
      </c>
    </row>
    <row r="13" spans="2:13" x14ac:dyDescent="0.2">
      <c r="B13" t="s">
        <v>24</v>
      </c>
      <c r="C13" t="s">
        <v>14</v>
      </c>
      <c r="D13">
        <v>12</v>
      </c>
      <c r="E13">
        <v>1085</v>
      </c>
      <c r="F13">
        <v>3222</v>
      </c>
      <c r="G13">
        <v>23.810727</v>
      </c>
      <c r="H13">
        <v>8077</v>
      </c>
      <c r="I13">
        <v>90.031066999999993</v>
      </c>
      <c r="J13">
        <v>2767</v>
      </c>
      <c r="K13" s="2">
        <f t="shared" si="0"/>
        <v>-0.60108951343320538</v>
      </c>
      <c r="L13" s="2">
        <f t="shared" si="1"/>
        <v>-0.1412166356300435</v>
      </c>
      <c r="M13" s="2">
        <f t="shared" si="2"/>
        <v>-0.73552765957999799</v>
      </c>
    </row>
    <row r="14" spans="2:13" x14ac:dyDescent="0.2">
      <c r="B14" t="s">
        <v>25</v>
      </c>
      <c r="C14" t="s">
        <v>14</v>
      </c>
      <c r="D14">
        <v>8</v>
      </c>
      <c r="E14">
        <v>84</v>
      </c>
      <c r="F14">
        <v>289</v>
      </c>
      <c r="G14">
        <v>0.19081300000000001</v>
      </c>
      <c r="H14">
        <v>443</v>
      </c>
      <c r="I14">
        <v>0.279721</v>
      </c>
      <c r="J14">
        <v>266</v>
      </c>
      <c r="K14" s="2">
        <f t="shared" si="0"/>
        <v>-0.34762979683972917</v>
      </c>
      <c r="L14" s="2">
        <f t="shared" si="1"/>
        <v>-7.9584775086505188E-2</v>
      </c>
      <c r="M14" s="2">
        <f t="shared" si="2"/>
        <v>-0.31784528154839997</v>
      </c>
    </row>
    <row r="15" spans="2:13" x14ac:dyDescent="0.2">
      <c r="B15" t="s">
        <v>26</v>
      </c>
      <c r="C15" t="s">
        <v>27</v>
      </c>
      <c r="D15">
        <v>4</v>
      </c>
      <c r="E15">
        <v>12</v>
      </c>
      <c r="F15">
        <v>22</v>
      </c>
      <c r="G15">
        <v>1.486E-2</v>
      </c>
      <c r="H15">
        <v>35</v>
      </c>
      <c r="I15">
        <v>5.5510000000000004E-3</v>
      </c>
      <c r="J15">
        <v>24</v>
      </c>
      <c r="K15" s="2">
        <f t="shared" si="0"/>
        <v>-0.37142857142857144</v>
      </c>
      <c r="L15" s="1">
        <f t="shared" si="1"/>
        <v>9.0909090909090828E-2</v>
      </c>
      <c r="M15" s="5">
        <f t="shared" si="2"/>
        <v>1.6769951360115294</v>
      </c>
    </row>
    <row r="16" spans="2:13" x14ac:dyDescent="0.2">
      <c r="B16" t="s">
        <v>28</v>
      </c>
      <c r="C16" t="s">
        <v>14</v>
      </c>
      <c r="D16">
        <v>8</v>
      </c>
      <c r="E16">
        <v>84</v>
      </c>
      <c r="F16">
        <v>327</v>
      </c>
      <c r="G16">
        <v>0.27967599999999998</v>
      </c>
      <c r="H16">
        <v>414</v>
      </c>
      <c r="I16">
        <v>0.30827500000000002</v>
      </c>
      <c r="J16">
        <v>247</v>
      </c>
      <c r="K16" s="2">
        <f t="shared" si="0"/>
        <v>-0.21014492753623193</v>
      </c>
      <c r="L16" s="2">
        <f t="shared" si="1"/>
        <v>-0.24464831804281351</v>
      </c>
      <c r="M16" s="2">
        <f t="shared" si="2"/>
        <v>-9.2771064796042579E-2</v>
      </c>
    </row>
    <row r="17" spans="2:13" x14ac:dyDescent="0.2">
      <c r="B17" t="s">
        <v>29</v>
      </c>
      <c r="C17" t="s">
        <v>27</v>
      </c>
      <c r="D17">
        <v>4</v>
      </c>
      <c r="E17">
        <v>12</v>
      </c>
      <c r="F17">
        <v>24</v>
      </c>
      <c r="G17">
        <v>1.1167E-2</v>
      </c>
      <c r="H17">
        <v>38</v>
      </c>
      <c r="I17">
        <v>6.3090000000000004E-3</v>
      </c>
      <c r="J17">
        <v>29</v>
      </c>
      <c r="K17" s="2">
        <f t="shared" si="0"/>
        <v>-0.36842105263157898</v>
      </c>
      <c r="L17" s="1">
        <f t="shared" si="1"/>
        <v>0.20833333333333326</v>
      </c>
      <c r="M17" s="5">
        <f t="shared" si="2"/>
        <v>0.77001109526073841</v>
      </c>
    </row>
    <row r="18" spans="2:13" x14ac:dyDescent="0.2">
      <c r="B18" t="s">
        <v>30</v>
      </c>
      <c r="C18" t="s">
        <v>31</v>
      </c>
      <c r="D18">
        <v>6</v>
      </c>
      <c r="E18">
        <v>158</v>
      </c>
      <c r="F18">
        <v>237</v>
      </c>
      <c r="G18">
        <v>0.26958500000000002</v>
      </c>
      <c r="H18">
        <v>433</v>
      </c>
      <c r="I18">
        <v>0.34162100000000001</v>
      </c>
      <c r="J18">
        <v>215</v>
      </c>
      <c r="K18" s="2">
        <f t="shared" si="0"/>
        <v>-0.45265588914549648</v>
      </c>
      <c r="L18" s="2">
        <f t="shared" si="1"/>
        <v>-9.2827004219409259E-2</v>
      </c>
      <c r="M18" s="2">
        <f t="shared" si="2"/>
        <v>-0.210865257112414</v>
      </c>
    </row>
    <row r="19" spans="2:13" x14ac:dyDescent="0.2">
      <c r="B19" t="s">
        <v>32</v>
      </c>
      <c r="C19" t="s">
        <v>27</v>
      </c>
      <c r="D19">
        <v>2</v>
      </c>
      <c r="E19">
        <v>4</v>
      </c>
      <c r="F19">
        <v>5</v>
      </c>
      <c r="G19">
        <v>5.1599999999999997E-3</v>
      </c>
      <c r="H19">
        <v>5</v>
      </c>
      <c r="I19">
        <v>2.0890000000000001E-3</v>
      </c>
      <c r="J19">
        <v>2</v>
      </c>
      <c r="K19" s="5">
        <f t="shared" si="0"/>
        <v>0</v>
      </c>
      <c r="L19" s="2">
        <f t="shared" si="1"/>
        <v>-0.6</v>
      </c>
      <c r="M19" s="5">
        <f t="shared" si="2"/>
        <v>1.4700813786500713</v>
      </c>
    </row>
    <row r="20" spans="2:13" x14ac:dyDescent="0.2">
      <c r="B20" t="s">
        <v>33</v>
      </c>
      <c r="C20" t="s">
        <v>17</v>
      </c>
      <c r="D20">
        <v>16</v>
      </c>
      <c r="E20">
        <v>1440</v>
      </c>
      <c r="F20">
        <v>11382</v>
      </c>
      <c r="G20">
        <v>164.80469600000001</v>
      </c>
      <c r="H20">
        <v>13852</v>
      </c>
      <c r="I20">
        <v>378.60474699999997</v>
      </c>
      <c r="J20">
        <v>11815</v>
      </c>
      <c r="K20" s="2">
        <f t="shared" si="0"/>
        <v>-0.17831360092405424</v>
      </c>
      <c r="L20" s="1">
        <f t="shared" si="1"/>
        <v>3.8042523282375784E-2</v>
      </c>
      <c r="M20" s="2">
        <f t="shared" si="2"/>
        <v>-0.56470515146499201</v>
      </c>
    </row>
    <row r="21" spans="2:13" x14ac:dyDescent="0.2">
      <c r="B21" t="s">
        <v>34</v>
      </c>
      <c r="C21" t="s">
        <v>14</v>
      </c>
      <c r="D21">
        <v>8</v>
      </c>
      <c r="E21">
        <v>160</v>
      </c>
      <c r="F21">
        <v>448</v>
      </c>
      <c r="G21">
        <v>0.668852</v>
      </c>
      <c r="H21">
        <v>878</v>
      </c>
      <c r="I21">
        <v>1.1275869999999999</v>
      </c>
      <c r="J21">
        <v>382</v>
      </c>
      <c r="K21" s="2">
        <f t="shared" si="0"/>
        <v>-0.48974943052391795</v>
      </c>
      <c r="L21" s="2">
        <f t="shared" si="1"/>
        <v>-0.1473214285714286</v>
      </c>
      <c r="M21" s="2">
        <f t="shared" si="2"/>
        <v>-0.40682891874418559</v>
      </c>
    </row>
    <row r="22" spans="2:13" x14ac:dyDescent="0.2">
      <c r="B22" t="s">
        <v>35</v>
      </c>
      <c r="C22" t="s">
        <v>17</v>
      </c>
      <c r="D22">
        <v>16</v>
      </c>
      <c r="E22">
        <v>1440</v>
      </c>
      <c r="F22">
        <v>11626</v>
      </c>
      <c r="G22">
        <v>165.386697</v>
      </c>
      <c r="H22">
        <v>11727</v>
      </c>
      <c r="I22">
        <v>309.21366599999999</v>
      </c>
      <c r="J22">
        <v>6468</v>
      </c>
      <c r="K22" s="2">
        <f t="shared" si="0"/>
        <v>-8.6126033938773716E-3</v>
      </c>
      <c r="L22" s="2">
        <f t="shared" si="1"/>
        <v>-0.44366076036469981</v>
      </c>
      <c r="M22" s="2">
        <f t="shared" si="2"/>
        <v>-0.46513781509255803</v>
      </c>
    </row>
    <row r="23" spans="2:13" x14ac:dyDescent="0.2">
      <c r="B23" t="s">
        <v>36</v>
      </c>
      <c r="C23" t="s">
        <v>14</v>
      </c>
      <c r="D23">
        <v>8</v>
      </c>
      <c r="E23">
        <v>160</v>
      </c>
      <c r="F23">
        <v>507</v>
      </c>
      <c r="G23">
        <v>0.79593100000000006</v>
      </c>
      <c r="H23">
        <v>883</v>
      </c>
      <c r="I23">
        <v>1.149607</v>
      </c>
      <c r="J23">
        <v>421</v>
      </c>
      <c r="K23" s="2">
        <f t="shared" si="0"/>
        <v>-0.42582106455266133</v>
      </c>
      <c r="L23" s="2">
        <f t="shared" si="1"/>
        <v>-0.16962524654832345</v>
      </c>
      <c r="M23" s="2">
        <f t="shared" si="2"/>
        <v>-0.30764948369312295</v>
      </c>
    </row>
    <row r="24" spans="2:13" x14ac:dyDescent="0.2">
      <c r="B24" t="s">
        <v>37</v>
      </c>
      <c r="C24" t="s">
        <v>14</v>
      </c>
      <c r="D24">
        <v>14</v>
      </c>
      <c r="E24">
        <v>2912</v>
      </c>
      <c r="F24">
        <v>15866</v>
      </c>
      <c r="G24">
        <v>318.762201</v>
      </c>
      <c r="H24">
        <v>24224</v>
      </c>
      <c r="I24">
        <v>1493.9029410000001</v>
      </c>
      <c r="J24">
        <v>8374</v>
      </c>
      <c r="K24" s="2">
        <f t="shared" si="0"/>
        <v>-0.34502972258916775</v>
      </c>
      <c r="L24" s="2">
        <f t="shared" si="1"/>
        <v>-0.47220471448380186</v>
      </c>
      <c r="M24" s="2">
        <f t="shared" si="2"/>
        <v>-0.78662455755885685</v>
      </c>
    </row>
    <row r="25" spans="2:13" x14ac:dyDescent="0.2">
      <c r="B25" t="s">
        <v>38</v>
      </c>
      <c r="C25" t="s">
        <v>31</v>
      </c>
      <c r="D25">
        <v>6</v>
      </c>
      <c r="E25">
        <v>164</v>
      </c>
      <c r="F25">
        <v>217</v>
      </c>
      <c r="G25">
        <v>0.58277299999999999</v>
      </c>
      <c r="H25">
        <v>471</v>
      </c>
      <c r="I25">
        <v>0.57758100000000001</v>
      </c>
      <c r="J25">
        <v>191</v>
      </c>
      <c r="K25" s="2">
        <f t="shared" si="0"/>
        <v>-0.53927813163481952</v>
      </c>
      <c r="L25" s="2">
        <f t="shared" si="1"/>
        <v>-0.11981566820276501</v>
      </c>
      <c r="M25" s="5">
        <f t="shared" si="2"/>
        <v>8.9892153654638207E-3</v>
      </c>
    </row>
    <row r="26" spans="2:13" x14ac:dyDescent="0.2">
      <c r="B26" t="s">
        <v>39</v>
      </c>
      <c r="C26" t="s">
        <v>17</v>
      </c>
      <c r="D26">
        <v>16</v>
      </c>
      <c r="E26">
        <v>2688</v>
      </c>
      <c r="F26">
        <v>20605</v>
      </c>
      <c r="G26">
        <v>626.60672199999999</v>
      </c>
      <c r="H26">
        <v>28018</v>
      </c>
      <c r="I26">
        <v>1932.4593809999999</v>
      </c>
      <c r="J26">
        <v>11809</v>
      </c>
      <c r="K26" s="2">
        <f t="shared" si="0"/>
        <v>-0.26457991291312732</v>
      </c>
      <c r="L26" s="2">
        <f t="shared" si="1"/>
        <v>-0.42688667799077895</v>
      </c>
      <c r="M26" s="2">
        <f t="shared" si="2"/>
        <v>-0.67574649787684204</v>
      </c>
    </row>
    <row r="27" spans="2:13" x14ac:dyDescent="0.2">
      <c r="B27" t="s">
        <v>40</v>
      </c>
      <c r="C27" t="s">
        <v>17</v>
      </c>
      <c r="D27">
        <v>16</v>
      </c>
      <c r="E27">
        <v>2688</v>
      </c>
      <c r="F27">
        <v>9143</v>
      </c>
      <c r="G27">
        <v>335.78666199999998</v>
      </c>
      <c r="H27">
        <v>29280</v>
      </c>
      <c r="I27">
        <v>2134.8060519999999</v>
      </c>
      <c r="J27">
        <v>10652</v>
      </c>
      <c r="K27" s="2">
        <f t="shared" si="0"/>
        <v>-0.68773907103825138</v>
      </c>
      <c r="L27" s="1">
        <f t="shared" si="1"/>
        <v>0.1650442961828722</v>
      </c>
      <c r="M27" s="2">
        <f t="shared" si="2"/>
        <v>-0.84270858625053213</v>
      </c>
    </row>
    <row r="28" spans="2:13" x14ac:dyDescent="0.2">
      <c r="B28" t="s">
        <v>41</v>
      </c>
      <c r="C28" t="s">
        <v>17</v>
      </c>
      <c r="D28">
        <v>20</v>
      </c>
      <c r="E28">
        <v>684</v>
      </c>
      <c r="F28">
        <v>4953</v>
      </c>
      <c r="G28">
        <v>34.247933000000003</v>
      </c>
      <c r="H28">
        <v>6308</v>
      </c>
      <c r="I28">
        <v>60.474814000000002</v>
      </c>
      <c r="J28">
        <v>4740</v>
      </c>
      <c r="K28" s="2">
        <f t="shared" si="0"/>
        <v>-0.21480659480025366</v>
      </c>
      <c r="L28" s="2">
        <f t="shared" si="1"/>
        <v>-4.300423985463353E-2</v>
      </c>
      <c r="M28" s="2">
        <f t="shared" si="2"/>
        <v>-0.43368270632465278</v>
      </c>
    </row>
    <row r="29" spans="2:13" x14ac:dyDescent="0.2">
      <c r="B29" t="s">
        <v>42</v>
      </c>
      <c r="C29" t="s">
        <v>17</v>
      </c>
      <c r="D29">
        <v>20</v>
      </c>
      <c r="E29">
        <v>684</v>
      </c>
      <c r="F29">
        <v>4946</v>
      </c>
      <c r="G29">
        <v>32.466031000000001</v>
      </c>
      <c r="H29">
        <v>5807</v>
      </c>
      <c r="I29">
        <v>55.383809999999997</v>
      </c>
      <c r="J29">
        <v>5704</v>
      </c>
      <c r="K29" s="2">
        <f t="shared" si="0"/>
        <v>-0.14826933011882215</v>
      </c>
      <c r="L29" s="1">
        <f t="shared" si="1"/>
        <v>0.15325515568135861</v>
      </c>
      <c r="M29" s="2">
        <f t="shared" si="2"/>
        <v>-0.41379924927519429</v>
      </c>
    </row>
    <row r="30" spans="2:13" x14ac:dyDescent="0.2">
      <c r="B30" t="s">
        <v>43</v>
      </c>
      <c r="C30" t="s">
        <v>17</v>
      </c>
      <c r="D30">
        <v>22</v>
      </c>
      <c r="E30">
        <v>3240</v>
      </c>
      <c r="F30">
        <v>42385</v>
      </c>
      <c r="G30">
        <v>1592.0266979999999</v>
      </c>
      <c r="H30">
        <v>35792</v>
      </c>
      <c r="I30">
        <v>3037.7464949999999</v>
      </c>
      <c r="J30">
        <v>47282</v>
      </c>
      <c r="K30" s="5">
        <f t="shared" si="0"/>
        <v>0.18420317389360741</v>
      </c>
      <c r="L30" s="1">
        <f t="shared" si="1"/>
        <v>0.11553615665919548</v>
      </c>
      <c r="M30" s="2">
        <f t="shared" si="2"/>
        <v>-0.47591851373364846</v>
      </c>
    </row>
    <row r="31" spans="2:13" x14ac:dyDescent="0.2">
      <c r="B31" t="s">
        <v>44</v>
      </c>
      <c r="C31" t="s">
        <v>14</v>
      </c>
      <c r="D31">
        <v>12</v>
      </c>
      <c r="E31">
        <v>640</v>
      </c>
      <c r="F31">
        <v>2564</v>
      </c>
      <c r="G31">
        <v>15.482094999999999</v>
      </c>
      <c r="H31">
        <v>4250</v>
      </c>
      <c r="I31">
        <v>28.972878999999999</v>
      </c>
      <c r="J31">
        <v>3275</v>
      </c>
      <c r="K31" s="2">
        <f t="shared" si="0"/>
        <v>-0.39670588235294113</v>
      </c>
      <c r="L31" s="1">
        <f t="shared" si="1"/>
        <v>0.27730109204368181</v>
      </c>
      <c r="M31" s="2">
        <f t="shared" si="2"/>
        <v>-0.4656349132580162</v>
      </c>
    </row>
    <row r="32" spans="2:13" x14ac:dyDescent="0.2">
      <c r="B32" t="s">
        <v>45</v>
      </c>
      <c r="C32" t="s">
        <v>17</v>
      </c>
      <c r="D32">
        <v>22</v>
      </c>
      <c r="E32">
        <v>3240</v>
      </c>
      <c r="F32">
        <v>24416</v>
      </c>
      <c r="G32">
        <v>852.84564499999999</v>
      </c>
      <c r="H32">
        <v>33673</v>
      </c>
      <c r="I32">
        <v>3113.253412</v>
      </c>
      <c r="J32">
        <v>16037</v>
      </c>
      <c r="K32" s="2">
        <f t="shared" si="0"/>
        <v>-0.27490868054524398</v>
      </c>
      <c r="L32" s="2">
        <f t="shared" si="1"/>
        <v>-0.34317660550458717</v>
      </c>
      <c r="M32" s="2">
        <f t="shared" si="2"/>
        <v>-0.7260596770848412</v>
      </c>
    </row>
    <row r="33" spans="2:13" x14ac:dyDescent="0.2">
      <c r="B33" t="s">
        <v>46</v>
      </c>
      <c r="C33" t="s">
        <v>14</v>
      </c>
      <c r="D33">
        <v>12</v>
      </c>
      <c r="E33">
        <v>640</v>
      </c>
      <c r="F33">
        <v>2503</v>
      </c>
      <c r="G33">
        <v>14.346698</v>
      </c>
      <c r="H33">
        <v>4331</v>
      </c>
      <c r="I33">
        <v>29.301047000000001</v>
      </c>
      <c r="J33">
        <v>2336</v>
      </c>
      <c r="K33" s="2">
        <f t="shared" si="0"/>
        <v>-0.4220734241514662</v>
      </c>
      <c r="L33" s="2">
        <f t="shared" si="1"/>
        <v>-6.6719936076707897E-2</v>
      </c>
      <c r="M33" s="2">
        <f t="shared" si="2"/>
        <v>-0.51036910046251927</v>
      </c>
    </row>
    <row r="34" spans="2:13" x14ac:dyDescent="0.2">
      <c r="B34" t="s">
        <v>47</v>
      </c>
      <c r="C34" t="s">
        <v>14</v>
      </c>
      <c r="D34">
        <v>10</v>
      </c>
      <c r="E34">
        <v>630</v>
      </c>
      <c r="F34">
        <v>1432</v>
      </c>
      <c r="G34">
        <v>6.5066259999999998</v>
      </c>
      <c r="H34">
        <v>3472</v>
      </c>
      <c r="I34">
        <v>20.047049999999999</v>
      </c>
      <c r="J34">
        <v>1468</v>
      </c>
      <c r="K34" s="2">
        <f t="shared" si="0"/>
        <v>-0.5875576036866359</v>
      </c>
      <c r="L34" s="1">
        <f t="shared" si="1"/>
        <v>2.5139664804469275E-2</v>
      </c>
      <c r="M34" s="2">
        <f t="shared" si="2"/>
        <v>-0.67543224564212689</v>
      </c>
    </row>
    <row r="35" spans="2:13" x14ac:dyDescent="0.2">
      <c r="B35" t="s">
        <v>48</v>
      </c>
      <c r="C35" t="s">
        <v>17</v>
      </c>
      <c r="D35">
        <v>18</v>
      </c>
      <c r="E35">
        <v>2950</v>
      </c>
      <c r="F35">
        <v>21728</v>
      </c>
      <c r="G35">
        <v>508.06735300000003</v>
      </c>
      <c r="H35">
        <v>35602</v>
      </c>
      <c r="I35">
        <v>2431.2650039999999</v>
      </c>
      <c r="J35">
        <v>15910</v>
      </c>
      <c r="K35" s="2">
        <f t="shared" si="0"/>
        <v>-0.38969720802202124</v>
      </c>
      <c r="L35" s="2">
        <f t="shared" si="1"/>
        <v>-0.2677650957290133</v>
      </c>
      <c r="M35" s="2">
        <f t="shared" si="2"/>
        <v>-0.79102757117627642</v>
      </c>
    </row>
    <row r="36" spans="2:13" x14ac:dyDescent="0.2">
      <c r="B36" t="s">
        <v>49</v>
      </c>
      <c r="C36" t="s">
        <v>17</v>
      </c>
      <c r="D36">
        <v>16</v>
      </c>
      <c r="E36">
        <v>2340</v>
      </c>
      <c r="F36">
        <v>19534</v>
      </c>
      <c r="G36">
        <v>472.31464199999999</v>
      </c>
      <c r="H36">
        <v>25280</v>
      </c>
      <c r="I36">
        <v>1281.476625</v>
      </c>
      <c r="J36">
        <v>13035</v>
      </c>
      <c r="K36" s="2">
        <f t="shared" si="0"/>
        <v>-0.2272943037974684</v>
      </c>
      <c r="L36" s="2">
        <f t="shared" si="1"/>
        <v>-0.33270195556465654</v>
      </c>
      <c r="M36" s="2">
        <f t="shared" si="2"/>
        <v>-0.63142937390683973</v>
      </c>
    </row>
    <row r="37" spans="2:13" x14ac:dyDescent="0.2">
      <c r="B37" t="s">
        <v>50</v>
      </c>
      <c r="C37" t="s">
        <v>17</v>
      </c>
      <c r="D37">
        <v>16</v>
      </c>
      <c r="E37">
        <v>2340</v>
      </c>
      <c r="F37">
        <v>9597</v>
      </c>
      <c r="G37">
        <v>222.20063200000001</v>
      </c>
      <c r="H37">
        <v>23182</v>
      </c>
      <c r="I37">
        <v>1149.347585</v>
      </c>
      <c r="J37">
        <v>9670</v>
      </c>
      <c r="K37" s="2">
        <f t="shared" si="0"/>
        <v>-0.58601501164696745</v>
      </c>
      <c r="L37" s="1">
        <f t="shared" si="1"/>
        <v>7.6065437115764301E-3</v>
      </c>
      <c r="M37" s="2">
        <f t="shared" si="2"/>
        <v>-0.8066723810099623</v>
      </c>
    </row>
    <row r="38" spans="2:13" x14ac:dyDescent="0.2">
      <c r="B38" t="s">
        <v>51</v>
      </c>
      <c r="C38" t="s">
        <v>14</v>
      </c>
      <c r="D38">
        <v>12</v>
      </c>
      <c r="E38">
        <v>640</v>
      </c>
      <c r="F38">
        <v>2200</v>
      </c>
      <c r="G38">
        <v>10.826136999999999</v>
      </c>
      <c r="H38">
        <v>4788</v>
      </c>
      <c r="I38">
        <v>27.872985</v>
      </c>
      <c r="J38">
        <v>2461</v>
      </c>
      <c r="K38" s="2">
        <f t="shared" si="0"/>
        <v>-0.54051796157059318</v>
      </c>
      <c r="L38" s="1">
        <f t="shared" si="1"/>
        <v>0.11863636363636365</v>
      </c>
      <c r="M38" s="2">
        <f t="shared" si="2"/>
        <v>-0.61159032661912605</v>
      </c>
    </row>
    <row r="39" spans="2:13" x14ac:dyDescent="0.2">
      <c r="B39" t="s">
        <v>52</v>
      </c>
      <c r="C39" t="s">
        <v>14</v>
      </c>
      <c r="D39">
        <v>12</v>
      </c>
      <c r="E39">
        <v>640</v>
      </c>
      <c r="F39">
        <v>2301</v>
      </c>
      <c r="G39">
        <v>14.329871000000001</v>
      </c>
      <c r="H39">
        <v>4884</v>
      </c>
      <c r="I39">
        <v>32.869433999999998</v>
      </c>
      <c r="J39">
        <v>2415</v>
      </c>
      <c r="K39" s="2">
        <f t="shared" si="0"/>
        <v>-0.52886977886977893</v>
      </c>
      <c r="L39" s="1">
        <f t="shared" si="1"/>
        <v>4.9543676662320735E-2</v>
      </c>
      <c r="M39" s="2">
        <f t="shared" si="2"/>
        <v>-0.56403657574389632</v>
      </c>
    </row>
    <row r="40" spans="2:13" x14ac:dyDescent="0.2">
      <c r="B40" t="s">
        <v>53</v>
      </c>
      <c r="C40" t="s">
        <v>14</v>
      </c>
      <c r="D40">
        <v>10</v>
      </c>
      <c r="E40">
        <v>630</v>
      </c>
      <c r="F40">
        <v>1432</v>
      </c>
      <c r="G40">
        <v>6.5269760000000003</v>
      </c>
      <c r="H40">
        <v>3472</v>
      </c>
      <c r="I40">
        <v>19.445034</v>
      </c>
      <c r="J40">
        <v>1468</v>
      </c>
      <c r="K40" s="2">
        <f t="shared" si="0"/>
        <v>-0.5875576036866359</v>
      </c>
      <c r="L40" s="1">
        <f t="shared" si="1"/>
        <v>2.5139664804469275E-2</v>
      </c>
      <c r="M40" s="2">
        <f t="shared" si="2"/>
        <v>-0.66433712586977212</v>
      </c>
    </row>
    <row r="41" spans="2:13" x14ac:dyDescent="0.2">
      <c r="K41" s="2"/>
      <c r="L41" s="1"/>
      <c r="M41" s="2"/>
    </row>
    <row r="42" spans="2:13" x14ac:dyDescent="0.2">
      <c r="K42" s="2"/>
      <c r="L42" s="1"/>
      <c r="M42" s="2"/>
    </row>
    <row r="43" spans="2:13" x14ac:dyDescent="0.2">
      <c r="K43" s="2"/>
      <c r="L43" s="1"/>
      <c r="M43" s="2"/>
    </row>
    <row r="44" spans="2:13" x14ac:dyDescent="0.2">
      <c r="K44" s="2"/>
      <c r="L44" s="1"/>
      <c r="M44" s="2"/>
    </row>
    <row r="45" spans="2:13" x14ac:dyDescent="0.2">
      <c r="K45" s="2"/>
      <c r="L45" s="1"/>
      <c r="M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line6</vt:lpstr>
      <vt:lpstr>line6 depth</vt:lpstr>
      <vt:lpstr>quito5</vt:lpstr>
      <vt:lpstr>quito5 depth</vt:lpstr>
      <vt:lpstr>grid9</vt:lpstr>
      <vt:lpstr>grid9 depth</vt:lpstr>
      <vt:lpstr>grid16</vt:lpstr>
      <vt:lpstr>grid16 depth</vt:lpstr>
      <vt:lpstr>guadalupe16</vt:lpstr>
      <vt:lpstr>guadalupe depth</vt:lpstr>
      <vt:lpstr>time</vt:lpstr>
      <vt:lpstr>Molecules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Lauri Vuorenkoski</cp:lastModifiedBy>
  <dcterms:created xsi:type="dcterms:W3CDTF">2025-08-06T10:12:00Z</dcterms:created>
  <dcterms:modified xsi:type="dcterms:W3CDTF">2025-10-17T07:12:23Z</dcterms:modified>
</cp:coreProperties>
</file>