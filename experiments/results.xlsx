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vuorenk/Documents/vaikkari/paulioptnew/pauliopt/experiments/"/>
    </mc:Choice>
  </mc:AlternateContent>
  <xr:revisionPtr revIDLastSave="0" documentId="13_ncr:1_{9DF60BB9-8A8F-1047-AB02-BDE973443D3E}" xr6:coauthVersionLast="47" xr6:coauthVersionMax="47" xr10:uidLastSave="{00000000-0000-0000-0000-000000000000}"/>
  <bookViews>
    <workbookView xWindow="680" yWindow="760" windowWidth="28040" windowHeight="17240" activeTab="2" xr2:uid="{85E89CC3-FE57-2C44-8224-50BF94C0E0C4}"/>
  </bookViews>
  <sheets>
    <sheet name="line6" sheetId="1" r:id="rId1"/>
    <sheet name="more gadgets" sheetId="12" r:id="rId2"/>
    <sheet name="Molecules" sheetId="11" r:id="rId3"/>
    <sheet name="quito5" sheetId="5" r:id="rId4"/>
    <sheet name="grid9" sheetId="6" r:id="rId5"/>
    <sheet name="guadalupe16" sheetId="7" r:id="rId6"/>
    <sheet name="grid9-5" sheetId="8" r:id="rId7"/>
    <sheet name="guadalupe16-8" sheetId="9" r:id="rId8"/>
    <sheet name="guadalupe16-8legs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1" l="1"/>
  <c r="L40" i="11"/>
  <c r="K40" i="11"/>
  <c r="M39" i="11"/>
  <c r="L39" i="11"/>
  <c r="K39" i="11"/>
  <c r="M38" i="11"/>
  <c r="L38" i="11"/>
  <c r="K38" i="11"/>
  <c r="M37" i="11"/>
  <c r="L37" i="11"/>
  <c r="K37" i="11"/>
  <c r="M36" i="11"/>
  <c r="L36" i="11"/>
  <c r="K36" i="11"/>
  <c r="M35" i="11"/>
  <c r="L35" i="11"/>
  <c r="K35" i="11"/>
  <c r="M34" i="11"/>
  <c r="L34" i="11"/>
  <c r="K34" i="11"/>
  <c r="M33" i="11"/>
  <c r="L33" i="11"/>
  <c r="K33" i="11"/>
  <c r="M32" i="11"/>
  <c r="L32" i="11"/>
  <c r="K32" i="11"/>
  <c r="M31" i="11"/>
  <c r="L31" i="11"/>
  <c r="K31" i="11"/>
  <c r="M30" i="11"/>
  <c r="L30" i="11"/>
  <c r="K30" i="11"/>
  <c r="M29" i="11"/>
  <c r="L29" i="11"/>
  <c r="K29" i="11"/>
  <c r="M28" i="11"/>
  <c r="L28" i="11"/>
  <c r="K28" i="11"/>
  <c r="M27" i="11"/>
  <c r="L27" i="11"/>
  <c r="K27" i="11"/>
  <c r="M26" i="11"/>
  <c r="L26" i="11"/>
  <c r="K26" i="11"/>
  <c r="M25" i="11"/>
  <c r="L25" i="11"/>
  <c r="K25" i="11"/>
  <c r="M24" i="11"/>
  <c r="L24" i="11"/>
  <c r="K24" i="11"/>
  <c r="M23" i="11"/>
  <c r="L23" i="11"/>
  <c r="K23" i="11"/>
  <c r="M22" i="11"/>
  <c r="L22" i="11"/>
  <c r="K22" i="11"/>
  <c r="M21" i="11"/>
  <c r="L21" i="11"/>
  <c r="K21" i="11"/>
  <c r="M20" i="11"/>
  <c r="L20" i="11"/>
  <c r="K20" i="11"/>
  <c r="M19" i="11"/>
  <c r="L19" i="11"/>
  <c r="K19" i="11"/>
  <c r="M18" i="11"/>
  <c r="L18" i="11"/>
  <c r="K18" i="11"/>
  <c r="M17" i="11"/>
  <c r="L17" i="11"/>
  <c r="K17" i="11"/>
  <c r="M16" i="11"/>
  <c r="L16" i="11"/>
  <c r="K16" i="11"/>
  <c r="M15" i="11"/>
  <c r="L15" i="11"/>
  <c r="K15" i="11"/>
  <c r="M14" i="11"/>
  <c r="L14" i="11"/>
  <c r="K14" i="11"/>
  <c r="M13" i="11"/>
  <c r="L13" i="11"/>
  <c r="K13" i="11"/>
  <c r="M12" i="11"/>
  <c r="L12" i="11"/>
  <c r="K12" i="11"/>
  <c r="M11" i="11"/>
  <c r="L11" i="11"/>
  <c r="K11" i="11"/>
  <c r="M10" i="11"/>
  <c r="L10" i="11"/>
  <c r="K10" i="11"/>
  <c r="M9" i="11"/>
  <c r="L9" i="11"/>
  <c r="K9" i="11"/>
  <c r="M8" i="11"/>
  <c r="L8" i="11"/>
  <c r="K8" i="11"/>
  <c r="M7" i="11"/>
  <c r="L7" i="11"/>
  <c r="K7" i="11"/>
  <c r="M6" i="11"/>
  <c r="L6" i="11"/>
  <c r="K6" i="11"/>
  <c r="M5" i="11"/>
  <c r="L5" i="11"/>
  <c r="K5" i="11"/>
  <c r="M4" i="11"/>
  <c r="L4" i="11"/>
  <c r="K4" i="11"/>
  <c r="R44" i="1"/>
  <c r="Q44" i="1"/>
  <c r="P44" i="1"/>
  <c r="R43" i="1"/>
  <c r="Q43" i="1"/>
  <c r="P43" i="1"/>
  <c r="R42" i="1"/>
  <c r="Q42" i="1"/>
  <c r="P42" i="1"/>
  <c r="R41" i="1"/>
  <c r="Q41" i="1"/>
  <c r="P41" i="1"/>
  <c r="R40" i="1"/>
  <c r="Q40" i="1"/>
  <c r="P40" i="1"/>
  <c r="R39" i="1"/>
  <c r="Q39" i="1"/>
  <c r="P39" i="1"/>
  <c r="R38" i="1"/>
  <c r="Q38" i="1"/>
  <c r="P38" i="1"/>
  <c r="R37" i="1"/>
  <c r="Q37" i="1"/>
  <c r="P37" i="1"/>
  <c r="R36" i="1"/>
  <c r="Q36" i="1"/>
  <c r="P36" i="1"/>
  <c r="R35" i="1"/>
  <c r="Q35" i="1"/>
  <c r="P35" i="1"/>
  <c r="R34" i="1"/>
  <c r="Q34" i="1"/>
  <c r="P34" i="1"/>
  <c r="R33" i="1"/>
  <c r="Q33" i="1"/>
  <c r="P33" i="1"/>
  <c r="R32" i="1"/>
  <c r="Q32" i="1"/>
  <c r="P32" i="1"/>
  <c r="R31" i="1"/>
  <c r="Q31" i="1"/>
  <c r="P31" i="1"/>
  <c r="R30" i="1"/>
  <c r="Q30" i="1"/>
  <c r="P30" i="1"/>
  <c r="Q2" i="6"/>
  <c r="P2" i="6"/>
  <c r="R29" i="10" l="1"/>
  <c r="Q29" i="10"/>
  <c r="P29" i="10"/>
  <c r="R28" i="10"/>
  <c r="Q28" i="10"/>
  <c r="P28" i="10"/>
  <c r="R27" i="10"/>
  <c r="Q27" i="10"/>
  <c r="P27" i="10"/>
  <c r="R26" i="10"/>
  <c r="Q26" i="10"/>
  <c r="P26" i="10"/>
  <c r="R25" i="10"/>
  <c r="Q25" i="10"/>
  <c r="P25" i="10"/>
  <c r="R24" i="10"/>
  <c r="Q24" i="10"/>
  <c r="P24" i="10"/>
  <c r="R23" i="10"/>
  <c r="Q23" i="10"/>
  <c r="P23" i="10"/>
  <c r="R22" i="10"/>
  <c r="Q22" i="10"/>
  <c r="P22" i="10"/>
  <c r="R21" i="10"/>
  <c r="Q21" i="10"/>
  <c r="P21" i="10"/>
  <c r="R20" i="10"/>
  <c r="Q20" i="10"/>
  <c r="P20" i="10"/>
  <c r="R19" i="10"/>
  <c r="Q19" i="10"/>
  <c r="P19" i="10"/>
  <c r="R18" i="10"/>
  <c r="Q18" i="10"/>
  <c r="P18" i="10"/>
  <c r="R17" i="10"/>
  <c r="Q17" i="10"/>
  <c r="P17" i="10"/>
  <c r="R16" i="10"/>
  <c r="Q16" i="10"/>
  <c r="P16" i="10"/>
  <c r="R15" i="10"/>
  <c r="Q15" i="10"/>
  <c r="P15" i="10"/>
  <c r="R14" i="10"/>
  <c r="Q14" i="10"/>
  <c r="P14" i="10"/>
  <c r="R13" i="10"/>
  <c r="Q13" i="10"/>
  <c r="P13" i="10"/>
  <c r="R12" i="10"/>
  <c r="Q12" i="10"/>
  <c r="P12" i="10"/>
  <c r="R11" i="10"/>
  <c r="Q11" i="10"/>
  <c r="P11" i="10"/>
  <c r="R10" i="10"/>
  <c r="Q10" i="10"/>
  <c r="P10" i="10"/>
  <c r="R9" i="10"/>
  <c r="Q9" i="10"/>
  <c r="P9" i="10"/>
  <c r="R8" i="10"/>
  <c r="Q8" i="10"/>
  <c r="P8" i="10"/>
  <c r="R7" i="10"/>
  <c r="Q7" i="10"/>
  <c r="P7" i="10"/>
  <c r="R6" i="10"/>
  <c r="Q6" i="10"/>
  <c r="P6" i="10"/>
  <c r="R5" i="10"/>
  <c r="Q5" i="10"/>
  <c r="P5" i="10"/>
  <c r="R4" i="10"/>
  <c r="Q4" i="10"/>
  <c r="P4" i="10"/>
  <c r="R3" i="10"/>
  <c r="Q3" i="10"/>
  <c r="P3" i="10"/>
  <c r="R2" i="10"/>
  <c r="Q2" i="10"/>
  <c r="P2" i="10"/>
  <c r="R29" i="9"/>
  <c r="Q29" i="9"/>
  <c r="P29" i="9"/>
  <c r="R28" i="9"/>
  <c r="Q28" i="9"/>
  <c r="P28" i="9"/>
  <c r="R27" i="9"/>
  <c r="Q27" i="9"/>
  <c r="P27" i="9"/>
  <c r="R26" i="9"/>
  <c r="Q26" i="9"/>
  <c r="P26" i="9"/>
  <c r="R25" i="9"/>
  <c r="Q25" i="9"/>
  <c r="P25" i="9"/>
  <c r="R24" i="9"/>
  <c r="Q24" i="9"/>
  <c r="P24" i="9"/>
  <c r="R23" i="9"/>
  <c r="Q23" i="9"/>
  <c r="P23" i="9"/>
  <c r="R22" i="9"/>
  <c r="Q22" i="9"/>
  <c r="P22" i="9"/>
  <c r="R21" i="9"/>
  <c r="Q21" i="9"/>
  <c r="P21" i="9"/>
  <c r="R20" i="9"/>
  <c r="Q20" i="9"/>
  <c r="P20" i="9"/>
  <c r="R19" i="9"/>
  <c r="Q19" i="9"/>
  <c r="P19" i="9"/>
  <c r="R18" i="9"/>
  <c r="Q18" i="9"/>
  <c r="P18" i="9"/>
  <c r="R17" i="9"/>
  <c r="Q17" i="9"/>
  <c r="P17" i="9"/>
  <c r="R16" i="9"/>
  <c r="Q16" i="9"/>
  <c r="P16" i="9"/>
  <c r="R15" i="9"/>
  <c r="Q15" i="9"/>
  <c r="P15" i="9"/>
  <c r="R14" i="9"/>
  <c r="Q14" i="9"/>
  <c r="P14" i="9"/>
  <c r="R13" i="9"/>
  <c r="Q13" i="9"/>
  <c r="P13" i="9"/>
  <c r="R12" i="9"/>
  <c r="Q12" i="9"/>
  <c r="P12" i="9"/>
  <c r="R11" i="9"/>
  <c r="Q11" i="9"/>
  <c r="P11" i="9"/>
  <c r="R10" i="9"/>
  <c r="Q10" i="9"/>
  <c r="P10" i="9"/>
  <c r="R9" i="9"/>
  <c r="Q9" i="9"/>
  <c r="P9" i="9"/>
  <c r="R8" i="9"/>
  <c r="Q8" i="9"/>
  <c r="P8" i="9"/>
  <c r="R7" i="9"/>
  <c r="Q7" i="9"/>
  <c r="P7" i="9"/>
  <c r="R6" i="9"/>
  <c r="Q6" i="9"/>
  <c r="P6" i="9"/>
  <c r="R5" i="9"/>
  <c r="Q5" i="9"/>
  <c r="P5" i="9"/>
  <c r="R4" i="9"/>
  <c r="Q4" i="9"/>
  <c r="P4" i="9"/>
  <c r="R3" i="9"/>
  <c r="Q3" i="9"/>
  <c r="P3" i="9"/>
  <c r="R2" i="9"/>
  <c r="Q2" i="9"/>
  <c r="P2" i="9"/>
  <c r="R29" i="8"/>
  <c r="Q29" i="8"/>
  <c r="P29" i="8"/>
  <c r="R28" i="8"/>
  <c r="Q28" i="8"/>
  <c r="P28" i="8"/>
  <c r="R27" i="8"/>
  <c r="Q27" i="8"/>
  <c r="P27" i="8"/>
  <c r="R26" i="8"/>
  <c r="Q26" i="8"/>
  <c r="P26" i="8"/>
  <c r="R25" i="8"/>
  <c r="Q25" i="8"/>
  <c r="P25" i="8"/>
  <c r="R24" i="8"/>
  <c r="Q24" i="8"/>
  <c r="P24" i="8"/>
  <c r="R23" i="8"/>
  <c r="Q23" i="8"/>
  <c r="P23" i="8"/>
  <c r="R22" i="8"/>
  <c r="Q22" i="8"/>
  <c r="P22" i="8"/>
  <c r="R21" i="8"/>
  <c r="Q21" i="8"/>
  <c r="P21" i="8"/>
  <c r="R20" i="8"/>
  <c r="Q20" i="8"/>
  <c r="P20" i="8"/>
  <c r="R19" i="8"/>
  <c r="Q19" i="8"/>
  <c r="P19" i="8"/>
  <c r="R18" i="8"/>
  <c r="Q18" i="8"/>
  <c r="P18" i="8"/>
  <c r="R17" i="8"/>
  <c r="Q17" i="8"/>
  <c r="P17" i="8"/>
  <c r="R16" i="8"/>
  <c r="Q16" i="8"/>
  <c r="P16" i="8"/>
  <c r="R15" i="8"/>
  <c r="Q15" i="8"/>
  <c r="P15" i="8"/>
  <c r="R14" i="8"/>
  <c r="Q14" i="8"/>
  <c r="P14" i="8"/>
  <c r="R13" i="8"/>
  <c r="Q13" i="8"/>
  <c r="P13" i="8"/>
  <c r="R12" i="8"/>
  <c r="Q12" i="8"/>
  <c r="P12" i="8"/>
  <c r="R11" i="8"/>
  <c r="Q11" i="8"/>
  <c r="P11" i="8"/>
  <c r="R10" i="8"/>
  <c r="Q10" i="8"/>
  <c r="P10" i="8"/>
  <c r="R9" i="8"/>
  <c r="Q9" i="8"/>
  <c r="P9" i="8"/>
  <c r="R8" i="8"/>
  <c r="Q8" i="8"/>
  <c r="P8" i="8"/>
  <c r="R7" i="8"/>
  <c r="Q7" i="8"/>
  <c r="P7" i="8"/>
  <c r="R6" i="8"/>
  <c r="Q6" i="8"/>
  <c r="P6" i="8"/>
  <c r="R5" i="8"/>
  <c r="Q5" i="8"/>
  <c r="P5" i="8"/>
  <c r="R4" i="8"/>
  <c r="Q4" i="8"/>
  <c r="P4" i="8"/>
  <c r="R3" i="8"/>
  <c r="Q3" i="8"/>
  <c r="P3" i="8"/>
  <c r="R2" i="8"/>
  <c r="Q2" i="8"/>
  <c r="P2" i="8"/>
  <c r="R29" i="7"/>
  <c r="Q29" i="7"/>
  <c r="P29" i="7"/>
  <c r="R28" i="7"/>
  <c r="Q28" i="7"/>
  <c r="P28" i="7"/>
  <c r="R27" i="7"/>
  <c r="Q27" i="7"/>
  <c r="P27" i="7"/>
  <c r="R26" i="7"/>
  <c r="Q26" i="7"/>
  <c r="P26" i="7"/>
  <c r="R25" i="7"/>
  <c r="Q25" i="7"/>
  <c r="P25" i="7"/>
  <c r="R24" i="7"/>
  <c r="Q24" i="7"/>
  <c r="P24" i="7"/>
  <c r="R23" i="7"/>
  <c r="Q23" i="7"/>
  <c r="P23" i="7"/>
  <c r="R22" i="7"/>
  <c r="Q22" i="7"/>
  <c r="P22" i="7"/>
  <c r="R21" i="7"/>
  <c r="Q21" i="7"/>
  <c r="P21" i="7"/>
  <c r="R20" i="7"/>
  <c r="Q20" i="7"/>
  <c r="P20" i="7"/>
  <c r="R19" i="7"/>
  <c r="Q19" i="7"/>
  <c r="P19" i="7"/>
  <c r="R18" i="7"/>
  <c r="Q18" i="7"/>
  <c r="P18" i="7"/>
  <c r="R17" i="7"/>
  <c r="Q17" i="7"/>
  <c r="P17" i="7"/>
  <c r="R16" i="7"/>
  <c r="Q16" i="7"/>
  <c r="P16" i="7"/>
  <c r="R15" i="7"/>
  <c r="Q15" i="7"/>
  <c r="P15" i="7"/>
  <c r="R14" i="7"/>
  <c r="Q14" i="7"/>
  <c r="P14" i="7"/>
  <c r="R13" i="7"/>
  <c r="Q13" i="7"/>
  <c r="P13" i="7"/>
  <c r="R12" i="7"/>
  <c r="Q12" i="7"/>
  <c r="P12" i="7"/>
  <c r="R11" i="7"/>
  <c r="Q11" i="7"/>
  <c r="P11" i="7"/>
  <c r="R10" i="7"/>
  <c r="Q10" i="7"/>
  <c r="P10" i="7"/>
  <c r="R9" i="7"/>
  <c r="Q9" i="7"/>
  <c r="P9" i="7"/>
  <c r="R8" i="7"/>
  <c r="Q8" i="7"/>
  <c r="P8" i="7"/>
  <c r="R7" i="7"/>
  <c r="Q7" i="7"/>
  <c r="P7" i="7"/>
  <c r="R6" i="7"/>
  <c r="Q6" i="7"/>
  <c r="P6" i="7"/>
  <c r="R5" i="7"/>
  <c r="Q5" i="7"/>
  <c r="P5" i="7"/>
  <c r="R4" i="7"/>
  <c r="Q4" i="7"/>
  <c r="P4" i="7"/>
  <c r="R3" i="7"/>
  <c r="Q3" i="7"/>
  <c r="P3" i="7"/>
  <c r="R2" i="7"/>
  <c r="Q2" i="7"/>
  <c r="P2" i="7"/>
  <c r="R29" i="6"/>
  <c r="Q29" i="6"/>
  <c r="P29" i="6"/>
  <c r="R28" i="6"/>
  <c r="Q28" i="6"/>
  <c r="P28" i="6"/>
  <c r="R27" i="6"/>
  <c r="Q27" i="6"/>
  <c r="P27" i="6"/>
  <c r="R26" i="6"/>
  <c r="Q26" i="6"/>
  <c r="P26" i="6"/>
  <c r="R25" i="6"/>
  <c r="Q25" i="6"/>
  <c r="P25" i="6"/>
  <c r="R24" i="6"/>
  <c r="Q24" i="6"/>
  <c r="P24" i="6"/>
  <c r="R23" i="6"/>
  <c r="Q23" i="6"/>
  <c r="P23" i="6"/>
  <c r="R22" i="6"/>
  <c r="Q22" i="6"/>
  <c r="P22" i="6"/>
  <c r="R21" i="6"/>
  <c r="Q21" i="6"/>
  <c r="P21" i="6"/>
  <c r="R20" i="6"/>
  <c r="Q20" i="6"/>
  <c r="P20" i="6"/>
  <c r="R19" i="6"/>
  <c r="Q19" i="6"/>
  <c r="P19" i="6"/>
  <c r="R18" i="6"/>
  <c r="Q18" i="6"/>
  <c r="P18" i="6"/>
  <c r="R17" i="6"/>
  <c r="Q17" i="6"/>
  <c r="P17" i="6"/>
  <c r="R16" i="6"/>
  <c r="Q16" i="6"/>
  <c r="P16" i="6"/>
  <c r="R15" i="6"/>
  <c r="Q15" i="6"/>
  <c r="P15" i="6"/>
  <c r="R14" i="6"/>
  <c r="Q14" i="6"/>
  <c r="P14" i="6"/>
  <c r="R13" i="6"/>
  <c r="Q13" i="6"/>
  <c r="P13" i="6"/>
  <c r="R12" i="6"/>
  <c r="Q12" i="6"/>
  <c r="P12" i="6"/>
  <c r="R11" i="6"/>
  <c r="Q11" i="6"/>
  <c r="P11" i="6"/>
  <c r="R10" i="6"/>
  <c r="Q10" i="6"/>
  <c r="P10" i="6"/>
  <c r="R9" i="6"/>
  <c r="Q9" i="6"/>
  <c r="P9" i="6"/>
  <c r="R8" i="6"/>
  <c r="Q8" i="6"/>
  <c r="P8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R2" i="6"/>
  <c r="R29" i="5"/>
  <c r="Q29" i="5"/>
  <c r="P29" i="5"/>
  <c r="R28" i="5"/>
  <c r="Q28" i="5"/>
  <c r="P28" i="5"/>
  <c r="R27" i="5"/>
  <c r="Q27" i="5"/>
  <c r="P27" i="5"/>
  <c r="R26" i="5"/>
  <c r="Q26" i="5"/>
  <c r="P26" i="5"/>
  <c r="R25" i="5"/>
  <c r="Q25" i="5"/>
  <c r="P25" i="5"/>
  <c r="R24" i="5"/>
  <c r="Q24" i="5"/>
  <c r="P24" i="5"/>
  <c r="R23" i="5"/>
  <c r="Q23" i="5"/>
  <c r="P23" i="5"/>
  <c r="R22" i="5"/>
  <c r="Q22" i="5"/>
  <c r="P22" i="5"/>
  <c r="R21" i="5"/>
  <c r="Q21" i="5"/>
  <c r="P21" i="5"/>
  <c r="R20" i="5"/>
  <c r="Q20" i="5"/>
  <c r="P20" i="5"/>
  <c r="R19" i="5"/>
  <c r="Q19" i="5"/>
  <c r="P19" i="5"/>
  <c r="R18" i="5"/>
  <c r="Q18" i="5"/>
  <c r="P18" i="5"/>
  <c r="R17" i="5"/>
  <c r="Q17" i="5"/>
  <c r="P17" i="5"/>
  <c r="R16" i="5"/>
  <c r="Q16" i="5"/>
  <c r="P16" i="5"/>
  <c r="R15" i="5"/>
  <c r="Q15" i="5"/>
  <c r="P15" i="5"/>
  <c r="R14" i="5"/>
  <c r="Q14" i="5"/>
  <c r="P14" i="5"/>
  <c r="R13" i="5"/>
  <c r="Q13" i="5"/>
  <c r="P13" i="5"/>
  <c r="R12" i="5"/>
  <c r="Q12" i="5"/>
  <c r="P12" i="5"/>
  <c r="R11" i="5"/>
  <c r="Q11" i="5"/>
  <c r="P11" i="5"/>
  <c r="R10" i="5"/>
  <c r="Q10" i="5"/>
  <c r="P10" i="5"/>
  <c r="R9" i="5"/>
  <c r="Q9" i="5"/>
  <c r="P9" i="5"/>
  <c r="R8" i="5"/>
  <c r="Q8" i="5"/>
  <c r="P8" i="5"/>
  <c r="R7" i="5"/>
  <c r="Q7" i="5"/>
  <c r="P7" i="5"/>
  <c r="R6" i="5"/>
  <c r="Q6" i="5"/>
  <c r="P6" i="5"/>
  <c r="R5" i="5"/>
  <c r="Q5" i="5"/>
  <c r="P5" i="5"/>
  <c r="R4" i="5"/>
  <c r="Q4" i="5"/>
  <c r="P4" i="5"/>
  <c r="R3" i="5"/>
  <c r="Q3" i="5"/>
  <c r="P3" i="5"/>
  <c r="R2" i="5"/>
  <c r="Q2" i="5"/>
  <c r="P2" i="5"/>
  <c r="R29" i="1"/>
  <c r="Q29" i="1"/>
  <c r="P29" i="1"/>
  <c r="R28" i="1"/>
  <c r="Q28" i="1"/>
  <c r="P28" i="1"/>
  <c r="R27" i="1"/>
  <c r="Q27" i="1"/>
  <c r="P27" i="1"/>
  <c r="R26" i="1"/>
  <c r="Q26" i="1"/>
  <c r="P26" i="1"/>
  <c r="R25" i="1"/>
  <c r="Q25" i="1"/>
  <c r="P25" i="1"/>
  <c r="R24" i="1"/>
  <c r="Q24" i="1"/>
  <c r="P24" i="1"/>
  <c r="R23" i="1"/>
  <c r="Q23" i="1"/>
  <c r="P23" i="1"/>
  <c r="R22" i="1"/>
  <c r="Q22" i="1"/>
  <c r="P22" i="1"/>
  <c r="R21" i="1"/>
  <c r="Q21" i="1"/>
  <c r="P21" i="1"/>
  <c r="R20" i="1"/>
  <c r="Q20" i="1"/>
  <c r="P20" i="1"/>
  <c r="R19" i="1"/>
  <c r="Q19" i="1"/>
  <c r="P19" i="1"/>
  <c r="R18" i="1"/>
  <c r="Q18" i="1"/>
  <c r="P18" i="1"/>
  <c r="R17" i="1"/>
  <c r="Q17" i="1"/>
  <c r="P17" i="1"/>
  <c r="R16" i="1"/>
  <c r="Q16" i="1"/>
  <c r="P16" i="1"/>
  <c r="R15" i="1"/>
  <c r="Q15" i="1"/>
  <c r="P15" i="1"/>
  <c r="R14" i="1"/>
  <c r="Q14" i="1"/>
  <c r="P14" i="1"/>
  <c r="R13" i="1"/>
  <c r="Q13" i="1"/>
  <c r="P13" i="1"/>
  <c r="R12" i="1"/>
  <c r="Q12" i="1"/>
  <c r="P12" i="1"/>
  <c r="R11" i="1"/>
  <c r="Q11" i="1"/>
  <c r="P11" i="1"/>
  <c r="R10" i="1"/>
  <c r="Q10" i="1"/>
  <c r="P10" i="1"/>
  <c r="R9" i="1"/>
  <c r="Q9" i="1"/>
  <c r="P9" i="1"/>
  <c r="R8" i="1"/>
  <c r="Q8" i="1"/>
  <c r="P8" i="1"/>
  <c r="R7" i="1"/>
  <c r="Q7" i="1"/>
  <c r="P7" i="1"/>
  <c r="R6" i="1"/>
  <c r="Q6" i="1"/>
  <c r="P6" i="1"/>
  <c r="R5" i="1"/>
  <c r="Q5" i="1"/>
  <c r="P5" i="1"/>
  <c r="R4" i="1"/>
  <c r="Q4" i="1"/>
  <c r="P4" i="1"/>
  <c r="R3" i="1"/>
  <c r="Q3" i="1"/>
  <c r="P3" i="1"/>
  <c r="R2" i="1"/>
  <c r="Q2" i="1"/>
  <c r="P2" i="1"/>
</calcChain>
</file>

<file path=xl/sharedStrings.xml><?xml version="1.0" encoding="utf-8"?>
<sst xmlns="http://schemas.openxmlformats.org/spreadsheetml/2006/main" count="223" uniqueCount="72">
  <si>
    <t>gadgets</t>
  </si>
  <si>
    <t>sg</t>
  </si>
  <si>
    <t>sg+mapping</t>
  </si>
  <si>
    <t>do</t>
  </si>
  <si>
    <t>do+mapping</t>
  </si>
  <si>
    <t>sg-sgm%</t>
  </si>
  <si>
    <t>sg-do%</t>
  </si>
  <si>
    <t>do-dom%</t>
  </si>
  <si>
    <t>dynamic ordering</t>
  </si>
  <si>
    <t>steiner-gray</t>
  </si>
  <si>
    <t>sg (ms)</t>
  </si>
  <si>
    <t>sgm (ms)</t>
  </si>
  <si>
    <t>do (ms)</t>
  </si>
  <si>
    <t>dom (ms)</t>
  </si>
  <si>
    <t>sg-do time%</t>
  </si>
  <si>
    <t>backend</t>
  </si>
  <si>
    <t>cx do</t>
  </si>
  <si>
    <t>cx dom</t>
  </si>
  <si>
    <t>BeH2_BK_sto3g</t>
  </si>
  <si>
    <t>guadalupe</t>
  </si>
  <si>
    <t>BeH2_JW_sto3g</t>
  </si>
  <si>
    <t>BeH2_P_sto3g</t>
  </si>
  <si>
    <t>mumbai</t>
  </si>
  <si>
    <t>C2_P_sto3g</t>
  </si>
  <si>
    <t>CH2_BK_sto3g</t>
  </si>
  <si>
    <t>CH2_JW_sto3g</t>
  </si>
  <si>
    <t>CH2_P_sto3g</t>
  </si>
  <si>
    <t>H2O_BK_sto3g</t>
  </si>
  <si>
    <t>H2O_JW_sto3g</t>
  </si>
  <si>
    <t>H2O_P_sto3g</t>
  </si>
  <si>
    <t>H2_BK_631g</t>
  </si>
  <si>
    <t>H2_BK_sto3g</t>
  </si>
  <si>
    <t>quito</t>
  </si>
  <si>
    <t>H2_JW_631g</t>
  </si>
  <si>
    <t>H2_JW_sto3g</t>
  </si>
  <si>
    <t>H2_P_631g</t>
  </si>
  <si>
    <t>nairobi</t>
  </si>
  <si>
    <t>H2_P_sto3g</t>
  </si>
  <si>
    <t>H4_BK_631g</t>
  </si>
  <si>
    <t>H4_BK_sto3g</t>
  </si>
  <si>
    <t>H4_JW_631g</t>
  </si>
  <si>
    <t>H4_JW_sto3g</t>
  </si>
  <si>
    <t>H4_P_631g</t>
  </si>
  <si>
    <t>H4_P_sto3g</t>
  </si>
  <si>
    <t>H8_BK_sto3g</t>
  </si>
  <si>
    <t>H8_JW_sto3g</t>
  </si>
  <si>
    <t>HCl_BK_sto3g</t>
  </si>
  <si>
    <t>HCl_JW_sto3g</t>
  </si>
  <si>
    <t>LiH_BK_631g</t>
  </si>
  <si>
    <t>LiH_BK_sto3g</t>
  </si>
  <si>
    <t>LiH_JW_631g</t>
  </si>
  <si>
    <t>LiH_JW_sto3g</t>
  </si>
  <si>
    <t>LiH_P_sto3g</t>
  </si>
  <si>
    <t>N2_P_sto3g</t>
  </si>
  <si>
    <t>NH3_BK_sto3g</t>
  </si>
  <si>
    <t>NH3_JW_sto3g</t>
  </si>
  <si>
    <t>NH_BK_sto3g</t>
  </si>
  <si>
    <t>NH_JW_sto3g</t>
  </si>
  <si>
    <t>NH_P_sto3g</t>
  </si>
  <si>
    <t>do-&gt;dom</t>
  </si>
  <si>
    <t>molecule</t>
  </si>
  <si>
    <t>qubits</t>
  </si>
  <si>
    <t>sg-dom%</t>
  </si>
  <si>
    <t>do + mapping</t>
  </si>
  <si>
    <t>cx lo</t>
  </si>
  <si>
    <t>lo-&gt;do</t>
  </si>
  <si>
    <t>lexicographical ordering</t>
  </si>
  <si>
    <t>lo + mapping</t>
  </si>
  <si>
    <t>pauli strings</t>
  </si>
  <si>
    <t>time do</t>
  </si>
  <si>
    <t>time diff</t>
  </si>
  <si>
    <t>time 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</si>
</sst>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9" fontId="0" fillId="0" borderId="0" xfId="1" applyFont="1"/>
    <xf numFmtId="164" fontId="0" fillId="0" borderId="0" xfId="0" applyNumberFormat="1"/>
    <xf numFmtId="9" fontId="18" fillId="0" borderId="0" xfId="1" applyFont="1"/>
    <xf numFmtId="0" fontId="0" fillId="0" borderId="10" xfId="0" applyBorder="1"/>
    <xf numFmtId="0" fontId="0" fillId="0" borderId="10" xfId="0" applyBorder="1" applyAlignment="1">
      <alignment horizontal="right"/>
    </xf>
    <xf numFmtId="0" fontId="0" fillId="0" borderId="10" xfId="0" applyFill="1" applyBorder="1" applyAlignment="1">
      <alignment horizontal="right"/>
    </xf>
    <xf numFmtId="9" fontId="19" fillId="0" borderId="0" xfId="1" applyFont="1"/>
    <xf numFmtId="0" fontId="18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Line-6 (cnot count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line6!$O$1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250</c:v>
                </c:pt>
                <c:pt idx="29">
                  <c:v>300</c:v>
                </c:pt>
                <c:pt idx="30">
                  <c:v>350</c:v>
                </c:pt>
                <c:pt idx="31">
                  <c:v>400</c:v>
                </c:pt>
                <c:pt idx="32">
                  <c:v>450</c:v>
                </c:pt>
                <c:pt idx="33">
                  <c:v>500</c:v>
                </c:pt>
                <c:pt idx="34">
                  <c:v>550</c:v>
                </c:pt>
                <c:pt idx="35">
                  <c:v>600</c:v>
                </c:pt>
                <c:pt idx="36">
                  <c:v>650</c:v>
                </c:pt>
                <c:pt idx="37">
                  <c:v>700</c:v>
                </c:pt>
                <c:pt idx="38">
                  <c:v>750</c:v>
                </c:pt>
                <c:pt idx="39">
                  <c:v>800</c:v>
                </c:pt>
                <c:pt idx="40">
                  <c:v>850</c:v>
                </c:pt>
                <c:pt idx="41">
                  <c:v>900</c:v>
                </c:pt>
                <c:pt idx="42">
                  <c:v>950</c:v>
                </c:pt>
              </c:numCache>
            </c:numRef>
          </c:cat>
          <c:val>
            <c:numRef>
              <c:f>line6!$O$2:$O$44</c:f>
              <c:numCache>
                <c:formatCode>General</c:formatCode>
                <c:ptCount val="4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66-8949-B5B1-E2CE330577D2}"/>
            </c:ext>
          </c:extLst>
        </c:ser>
        <c:ser>
          <c:idx val="1"/>
          <c:order val="1"/>
          <c:tx>
            <c:strRef>
              <c:f>line6!$P$1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250</c:v>
                </c:pt>
                <c:pt idx="29">
                  <c:v>300</c:v>
                </c:pt>
                <c:pt idx="30">
                  <c:v>350</c:v>
                </c:pt>
                <c:pt idx="31">
                  <c:v>400</c:v>
                </c:pt>
                <c:pt idx="32">
                  <c:v>450</c:v>
                </c:pt>
                <c:pt idx="33">
                  <c:v>500</c:v>
                </c:pt>
                <c:pt idx="34">
                  <c:v>550</c:v>
                </c:pt>
                <c:pt idx="35">
                  <c:v>600</c:v>
                </c:pt>
                <c:pt idx="36">
                  <c:v>650</c:v>
                </c:pt>
                <c:pt idx="37">
                  <c:v>700</c:v>
                </c:pt>
                <c:pt idx="38">
                  <c:v>750</c:v>
                </c:pt>
                <c:pt idx="39">
                  <c:v>800</c:v>
                </c:pt>
                <c:pt idx="40">
                  <c:v>850</c:v>
                </c:pt>
                <c:pt idx="41">
                  <c:v>900</c:v>
                </c:pt>
                <c:pt idx="42">
                  <c:v>950</c:v>
                </c:pt>
              </c:numCache>
            </c:numRef>
          </c:cat>
          <c:val>
            <c:numRef>
              <c:f>line6!$P$2:$P$44</c:f>
              <c:numCache>
                <c:formatCode>0%</c:formatCode>
                <c:ptCount val="43"/>
                <c:pt idx="0">
                  <c:v>0.61538461538461542</c:v>
                </c:pt>
                <c:pt idx="1">
                  <c:v>0.82807017543859651</c:v>
                </c:pt>
                <c:pt idx="2">
                  <c:v>0.89230769230769225</c:v>
                </c:pt>
                <c:pt idx="3">
                  <c:v>0.92456896551724133</c:v>
                </c:pt>
                <c:pt idx="4">
                  <c:v>0.96526508226691032</c:v>
                </c:pt>
                <c:pt idx="5">
                  <c:v>0.92890995260663511</c:v>
                </c:pt>
                <c:pt idx="6">
                  <c:v>0.96350364963503654</c:v>
                </c:pt>
                <c:pt idx="7">
                  <c:v>0.96015936254980083</c:v>
                </c:pt>
                <c:pt idx="8">
                  <c:v>0.95662949194547708</c:v>
                </c:pt>
                <c:pt idx="9">
                  <c:v>0.95397008055235899</c:v>
                </c:pt>
                <c:pt idx="10">
                  <c:v>0.96166134185303509</c:v>
                </c:pt>
                <c:pt idx="11">
                  <c:v>0.97379032258064513</c:v>
                </c:pt>
                <c:pt idx="12">
                  <c:v>0.95904761904761904</c:v>
                </c:pt>
                <c:pt idx="13">
                  <c:v>0.96320147194112238</c:v>
                </c:pt>
                <c:pt idx="14">
                  <c:v>0.97723292469352008</c:v>
                </c:pt>
                <c:pt idx="15">
                  <c:v>0.95371900826446288</c:v>
                </c:pt>
                <c:pt idx="16">
                  <c:v>0.971107544141252</c:v>
                </c:pt>
                <c:pt idx="17">
                  <c:v>0.97280497280497291</c:v>
                </c:pt>
                <c:pt idx="18">
                  <c:v>0.98004434589800427</c:v>
                </c:pt>
                <c:pt idx="19">
                  <c:v>0.97832369942196529</c:v>
                </c:pt>
                <c:pt idx="20">
                  <c:v>0.95953757225433522</c:v>
                </c:pt>
                <c:pt idx="21">
                  <c:v>0.97873245427477673</c:v>
                </c:pt>
                <c:pt idx="22">
                  <c:v>0.98741459906508455</c:v>
                </c:pt>
                <c:pt idx="23">
                  <c:v>0.9866335094808828</c:v>
                </c:pt>
                <c:pt idx="24">
                  <c:v>0.98864265927977835</c:v>
                </c:pt>
                <c:pt idx="25">
                  <c:v>0.98304239401496252</c:v>
                </c:pt>
                <c:pt idx="26">
                  <c:v>0.98517673888255419</c:v>
                </c:pt>
                <c:pt idx="27">
                  <c:v>0.98378606022320492</c:v>
                </c:pt>
                <c:pt idx="28">
                  <c:v>0.98645759087669271</c:v>
                </c:pt>
                <c:pt idx="29">
                  <c:v>0.99514942888436864</c:v>
                </c:pt>
                <c:pt idx="30">
                  <c:v>0.98781332225453533</c:v>
                </c:pt>
                <c:pt idx="31">
                  <c:v>0.98963861511245899</c:v>
                </c:pt>
                <c:pt idx="32">
                  <c:v>0.99075678798382438</c:v>
                </c:pt>
                <c:pt idx="33">
                  <c:v>0.99249490725849687</c:v>
                </c:pt>
                <c:pt idx="34">
                  <c:v>0.99508722678965311</c:v>
                </c:pt>
                <c:pt idx="35">
                  <c:v>0.99430415796468574</c:v>
                </c:pt>
                <c:pt idx="36">
                  <c:v>0.9981921721052156</c:v>
                </c:pt>
                <c:pt idx="37">
                  <c:v>0.99231294841134265</c:v>
                </c:pt>
                <c:pt idx="38">
                  <c:v>0.9929291287386216</c:v>
                </c:pt>
                <c:pt idx="39">
                  <c:v>0.99233536680744572</c:v>
                </c:pt>
                <c:pt idx="40">
                  <c:v>0.99277434893873262</c:v>
                </c:pt>
                <c:pt idx="41">
                  <c:v>0.99290882778581768</c:v>
                </c:pt>
                <c:pt idx="42">
                  <c:v>0.99030006978367058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66-8949-B5B1-E2CE330577D2}"/>
            </c:ext>
          </c:extLst>
        </c:ser>
        <c:ser>
          <c:idx val="2"/>
          <c:order val="2"/>
          <c:tx>
            <c:strRef>
              <c:f>line6!$Q$1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250</c:v>
                </c:pt>
                <c:pt idx="29">
                  <c:v>300</c:v>
                </c:pt>
                <c:pt idx="30">
                  <c:v>350</c:v>
                </c:pt>
                <c:pt idx="31">
                  <c:v>400</c:v>
                </c:pt>
                <c:pt idx="32">
                  <c:v>450</c:v>
                </c:pt>
                <c:pt idx="33">
                  <c:v>500</c:v>
                </c:pt>
                <c:pt idx="34">
                  <c:v>550</c:v>
                </c:pt>
                <c:pt idx="35">
                  <c:v>600</c:v>
                </c:pt>
                <c:pt idx="36">
                  <c:v>650</c:v>
                </c:pt>
                <c:pt idx="37">
                  <c:v>700</c:v>
                </c:pt>
                <c:pt idx="38">
                  <c:v>750</c:v>
                </c:pt>
                <c:pt idx="39">
                  <c:v>800</c:v>
                </c:pt>
                <c:pt idx="40">
                  <c:v>850</c:v>
                </c:pt>
                <c:pt idx="41">
                  <c:v>900</c:v>
                </c:pt>
                <c:pt idx="42">
                  <c:v>950</c:v>
                </c:pt>
              </c:numCache>
            </c:numRef>
          </c:cat>
          <c:val>
            <c:numRef>
              <c:f>line6!$Q$2:$Q$44</c:f>
              <c:numCache>
                <c:formatCode>0%</c:formatCode>
                <c:ptCount val="43"/>
                <c:pt idx="0">
                  <c:v>0.94082840236686405</c:v>
                </c:pt>
                <c:pt idx="1">
                  <c:v>0.93333333333333335</c:v>
                </c:pt>
                <c:pt idx="2">
                  <c:v>0.85897435897435892</c:v>
                </c:pt>
                <c:pt idx="3">
                  <c:v>0.83189655172413801</c:v>
                </c:pt>
                <c:pt idx="4">
                  <c:v>0.8336380255941499</c:v>
                </c:pt>
                <c:pt idx="5">
                  <c:v>0.80410742496050558</c:v>
                </c:pt>
                <c:pt idx="6">
                  <c:v>0.79999999999999993</c:v>
                </c:pt>
                <c:pt idx="7">
                  <c:v>0.78884462151394419</c:v>
                </c:pt>
                <c:pt idx="8">
                  <c:v>0.7806691449814126</c:v>
                </c:pt>
                <c:pt idx="9">
                  <c:v>0.76179516685845794</c:v>
                </c:pt>
                <c:pt idx="10">
                  <c:v>0.75079872204472842</c:v>
                </c:pt>
                <c:pt idx="11">
                  <c:v>0.75302419354838712</c:v>
                </c:pt>
                <c:pt idx="12">
                  <c:v>0.73142857142857143</c:v>
                </c:pt>
                <c:pt idx="13">
                  <c:v>0.72861085556577743</c:v>
                </c:pt>
                <c:pt idx="14">
                  <c:v>0.72504378283712778</c:v>
                </c:pt>
                <c:pt idx="15">
                  <c:v>0.71239669421487606</c:v>
                </c:pt>
                <c:pt idx="16">
                  <c:v>0.71187800963081871</c:v>
                </c:pt>
                <c:pt idx="17">
                  <c:v>0.71017871017871026</c:v>
                </c:pt>
                <c:pt idx="18">
                  <c:v>0.6954915003695491</c:v>
                </c:pt>
                <c:pt idx="19">
                  <c:v>0.699421965317919</c:v>
                </c:pt>
                <c:pt idx="20">
                  <c:v>0.64582238570677875</c:v>
                </c:pt>
                <c:pt idx="21">
                  <c:v>0.61931093151850281</c:v>
                </c:pt>
                <c:pt idx="22">
                  <c:v>0.59942466738583233</c:v>
                </c:pt>
                <c:pt idx="23">
                  <c:v>0.57848927572272302</c:v>
                </c:pt>
                <c:pt idx="24">
                  <c:v>0.5650969529085873</c:v>
                </c:pt>
                <c:pt idx="25">
                  <c:v>0.55162094763092262</c:v>
                </c:pt>
                <c:pt idx="26">
                  <c:v>0.5420752565564424</c:v>
                </c:pt>
                <c:pt idx="27">
                  <c:v>0.53337544746262378</c:v>
                </c:pt>
                <c:pt idx="28">
                  <c:v>0.5174625801853171</c:v>
                </c:pt>
                <c:pt idx="29">
                  <c:v>0.50352057580973242</c:v>
                </c:pt>
                <c:pt idx="30">
                  <c:v>0.48774407976734518</c:v>
                </c:pt>
                <c:pt idx="31">
                  <c:v>0.48079353045236289</c:v>
                </c:pt>
                <c:pt idx="32">
                  <c:v>0.47336799537839397</c:v>
                </c:pt>
                <c:pt idx="33">
                  <c:v>0.46670955291090382</c:v>
                </c:pt>
                <c:pt idx="34">
                  <c:v>0.45989572889512731</c:v>
                </c:pt>
                <c:pt idx="35">
                  <c:v>0.45462312511866332</c:v>
                </c:pt>
                <c:pt idx="36">
                  <c:v>0.45367441019614935</c:v>
                </c:pt>
                <c:pt idx="37">
                  <c:v>0.44832593098735907</c:v>
                </c:pt>
                <c:pt idx="38">
                  <c:v>0.44318920676202855</c:v>
                </c:pt>
                <c:pt idx="39">
                  <c:v>0.44063819802909432</c:v>
                </c:pt>
                <c:pt idx="40">
                  <c:v>0.43895830197200064</c:v>
                </c:pt>
                <c:pt idx="41">
                  <c:v>0.43408104196816205</c:v>
                </c:pt>
                <c:pt idx="42">
                  <c:v>0.43098394975575716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66-8949-B5B1-E2CE330577D2}"/>
            </c:ext>
          </c:extLst>
        </c:ser>
        <c:ser>
          <c:idx val="3"/>
          <c:order val="3"/>
          <c:tx>
            <c:strRef>
              <c:f>line6!$R$1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250</c:v>
                </c:pt>
                <c:pt idx="29">
                  <c:v>300</c:v>
                </c:pt>
                <c:pt idx="30">
                  <c:v>350</c:v>
                </c:pt>
                <c:pt idx="31">
                  <c:v>400</c:v>
                </c:pt>
                <c:pt idx="32">
                  <c:v>450</c:v>
                </c:pt>
                <c:pt idx="33">
                  <c:v>500</c:v>
                </c:pt>
                <c:pt idx="34">
                  <c:v>550</c:v>
                </c:pt>
                <c:pt idx="35">
                  <c:v>600</c:v>
                </c:pt>
                <c:pt idx="36">
                  <c:v>650</c:v>
                </c:pt>
                <c:pt idx="37">
                  <c:v>700</c:v>
                </c:pt>
                <c:pt idx="38">
                  <c:v>750</c:v>
                </c:pt>
                <c:pt idx="39">
                  <c:v>800</c:v>
                </c:pt>
                <c:pt idx="40">
                  <c:v>850</c:v>
                </c:pt>
                <c:pt idx="41">
                  <c:v>900</c:v>
                </c:pt>
                <c:pt idx="42">
                  <c:v>950</c:v>
                </c:pt>
              </c:numCache>
            </c:numRef>
          </c:cat>
          <c:val>
            <c:numRef>
              <c:f>line6!$R$2:$R$44</c:f>
              <c:numCache>
                <c:formatCode>0%</c:formatCode>
                <c:ptCount val="43"/>
                <c:pt idx="0">
                  <c:v>0.53254437869822491</c:v>
                </c:pt>
                <c:pt idx="1">
                  <c:v>0.70175438596491224</c:v>
                </c:pt>
                <c:pt idx="2">
                  <c:v>0.7384615384615385</c:v>
                </c:pt>
                <c:pt idx="3">
                  <c:v>0.75646551724137934</c:v>
                </c:pt>
                <c:pt idx="4">
                  <c:v>0.75319926873857401</c:v>
                </c:pt>
                <c:pt idx="5">
                  <c:v>0.75039494470774093</c:v>
                </c:pt>
                <c:pt idx="6">
                  <c:v>0.76058394160583942</c:v>
                </c:pt>
                <c:pt idx="7">
                  <c:v>0.74767596281540505</c:v>
                </c:pt>
                <c:pt idx="8">
                  <c:v>0.73853779429987609</c:v>
                </c:pt>
                <c:pt idx="9">
                  <c:v>0.73762945914844635</c:v>
                </c:pt>
                <c:pt idx="10">
                  <c:v>0.72097976570820022</c:v>
                </c:pt>
                <c:pt idx="11">
                  <c:v>0.72177419354838701</c:v>
                </c:pt>
                <c:pt idx="12">
                  <c:v>0.7142857142857143</c:v>
                </c:pt>
                <c:pt idx="13">
                  <c:v>0.71941122355105791</c:v>
                </c:pt>
                <c:pt idx="14">
                  <c:v>0.71366024518388793</c:v>
                </c:pt>
                <c:pt idx="15">
                  <c:v>0.69256198347107434</c:v>
                </c:pt>
                <c:pt idx="16">
                  <c:v>0.6869983948635634</c:v>
                </c:pt>
                <c:pt idx="17">
                  <c:v>0.69541569541569548</c:v>
                </c:pt>
                <c:pt idx="18">
                  <c:v>0.68736141906873605</c:v>
                </c:pt>
                <c:pt idx="19">
                  <c:v>0.68352601156069359</c:v>
                </c:pt>
                <c:pt idx="20">
                  <c:v>0.63636363636363624</c:v>
                </c:pt>
                <c:pt idx="21">
                  <c:v>0.61037856231390897</c:v>
                </c:pt>
                <c:pt idx="22">
                  <c:v>0.59546925566343034</c:v>
                </c:pt>
                <c:pt idx="23">
                  <c:v>0.57631333540565743</c:v>
                </c:pt>
                <c:pt idx="24">
                  <c:v>0.56398891966759002</c:v>
                </c:pt>
                <c:pt idx="25">
                  <c:v>0.55311720698254363</c:v>
                </c:pt>
                <c:pt idx="26">
                  <c:v>0.54116305587229196</c:v>
                </c:pt>
                <c:pt idx="27">
                  <c:v>0.53253316487681623</c:v>
                </c:pt>
                <c:pt idx="28">
                  <c:v>0.51728439059158948</c:v>
                </c:pt>
                <c:pt idx="29">
                  <c:v>0.50336410577374424</c:v>
                </c:pt>
                <c:pt idx="30">
                  <c:v>0.49203711397313393</c:v>
                </c:pt>
                <c:pt idx="31">
                  <c:v>0.48193075562294668</c:v>
                </c:pt>
                <c:pt idx="32">
                  <c:v>0.47325245522819182</c:v>
                </c:pt>
                <c:pt idx="33">
                  <c:v>0.46510131875201027</c:v>
                </c:pt>
                <c:pt idx="34">
                  <c:v>0.45819129737317027</c:v>
                </c:pt>
                <c:pt idx="35">
                  <c:v>0.45671160053161192</c:v>
                </c:pt>
                <c:pt idx="36">
                  <c:v>0.45231853927506099</c:v>
                </c:pt>
                <c:pt idx="37">
                  <c:v>0.44815510761872229</c:v>
                </c:pt>
                <c:pt idx="38">
                  <c:v>0.44253901170351101</c:v>
                </c:pt>
                <c:pt idx="39">
                  <c:v>0.44001251368684502</c:v>
                </c:pt>
                <c:pt idx="40">
                  <c:v>0.43956043956043961</c:v>
                </c:pt>
                <c:pt idx="41">
                  <c:v>0.43531114327062231</c:v>
                </c:pt>
                <c:pt idx="42">
                  <c:v>0.43049546406140959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66-8949-B5B1-E2CE33057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Quito-5 (cnot count relative to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 </a:t>
            </a:r>
            <a:r>
              <a:rPr lang="en-US" sz="2400" baseline="0"/>
              <a:t>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quito5!$O$1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0-5845-AED1-3910EDD12E35}"/>
            </c:ext>
          </c:extLst>
        </c:ser>
        <c:ser>
          <c:idx val="1"/>
          <c:order val="1"/>
          <c:tx>
            <c:strRef>
              <c:f>quito5!$P$1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quito5!$P$2:$P$29</c:f>
              <c:numCache>
                <c:formatCode>0%</c:formatCode>
                <c:ptCount val="28"/>
                <c:pt idx="0">
                  <c:v>0.77319587628865982</c:v>
                </c:pt>
                <c:pt idx="1">
                  <c:v>0.92024539877300604</c:v>
                </c:pt>
                <c:pt idx="2">
                  <c:v>0.89915966386554613</c:v>
                </c:pt>
                <c:pt idx="3">
                  <c:v>0.95238095238095244</c:v>
                </c:pt>
                <c:pt idx="4">
                  <c:v>0.96848137535816614</c:v>
                </c:pt>
                <c:pt idx="5">
                  <c:v>0.97429305912596398</c:v>
                </c:pt>
                <c:pt idx="6">
                  <c:v>0.97685185185185186</c:v>
                </c:pt>
                <c:pt idx="7">
                  <c:v>0.97396963123644242</c:v>
                </c:pt>
                <c:pt idx="8">
                  <c:v>0.97394789579158325</c:v>
                </c:pt>
                <c:pt idx="9">
                  <c:v>0.97373358348968109</c:v>
                </c:pt>
                <c:pt idx="10">
                  <c:v>0.98236331569664903</c:v>
                </c:pt>
                <c:pt idx="11">
                  <c:v>0.97822445561139026</c:v>
                </c:pt>
                <c:pt idx="12">
                  <c:v>0.97322834645669287</c:v>
                </c:pt>
                <c:pt idx="13">
                  <c:v>0.98796992481203016</c:v>
                </c:pt>
                <c:pt idx="14">
                  <c:v>0.96332863187588136</c:v>
                </c:pt>
                <c:pt idx="15">
                  <c:v>0.9903448275862069</c:v>
                </c:pt>
                <c:pt idx="16">
                  <c:v>0.98021108179419525</c:v>
                </c:pt>
                <c:pt idx="17">
                  <c:v>0.97328244274809173</c:v>
                </c:pt>
                <c:pt idx="18">
                  <c:v>0.99023199023199004</c:v>
                </c:pt>
                <c:pt idx="19">
                  <c:v>0.98470588235294121</c:v>
                </c:pt>
                <c:pt idx="20">
                  <c:v>0.97192982456140353</c:v>
                </c:pt>
                <c:pt idx="21">
                  <c:v>0.9963503649635036</c:v>
                </c:pt>
                <c:pt idx="22">
                  <c:v>0.98878504672897194</c:v>
                </c:pt>
                <c:pt idx="23">
                  <c:v>0.99782490483958675</c:v>
                </c:pt>
                <c:pt idx="24">
                  <c:v>0.99851778656126478</c:v>
                </c:pt>
                <c:pt idx="25">
                  <c:v>0.99281221922731355</c:v>
                </c:pt>
                <c:pt idx="26">
                  <c:v>1.0004151100041512</c:v>
                </c:pt>
                <c:pt idx="27">
                  <c:v>1.001937984496124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0-5845-AED1-3910EDD12E35}"/>
            </c:ext>
          </c:extLst>
        </c:ser>
        <c:ser>
          <c:idx val="2"/>
          <c:order val="2"/>
          <c:tx>
            <c:strRef>
              <c:f>quito5!$Q$1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quito5!$Q$2:$Q$29</c:f>
              <c:numCache>
                <c:formatCode>0%</c:formatCode>
                <c:ptCount val="28"/>
                <c:pt idx="0">
                  <c:v>0.98969072164948457</c:v>
                </c:pt>
                <c:pt idx="1">
                  <c:v>0.9141104294478527</c:v>
                </c:pt>
                <c:pt idx="2">
                  <c:v>0.83613445378151252</c:v>
                </c:pt>
                <c:pt idx="3">
                  <c:v>0.82993197278911568</c:v>
                </c:pt>
                <c:pt idx="4">
                  <c:v>0.80229226361031525</c:v>
                </c:pt>
                <c:pt idx="5">
                  <c:v>0.79177377892030854</c:v>
                </c:pt>
                <c:pt idx="6">
                  <c:v>0.76157407407407396</c:v>
                </c:pt>
                <c:pt idx="7">
                  <c:v>0.76789587852494567</c:v>
                </c:pt>
                <c:pt idx="8">
                  <c:v>0.76152304609218435</c:v>
                </c:pt>
                <c:pt idx="9">
                  <c:v>0.74671669793621009</c:v>
                </c:pt>
                <c:pt idx="10">
                  <c:v>0.74955908289241624</c:v>
                </c:pt>
                <c:pt idx="11">
                  <c:v>0.72864321608040195</c:v>
                </c:pt>
                <c:pt idx="12">
                  <c:v>0.72283464566929134</c:v>
                </c:pt>
                <c:pt idx="13">
                  <c:v>0.7142857142857143</c:v>
                </c:pt>
                <c:pt idx="14">
                  <c:v>0.70239774330042304</c:v>
                </c:pt>
                <c:pt idx="15">
                  <c:v>0.70896551724137924</c:v>
                </c:pt>
                <c:pt idx="16">
                  <c:v>0.70052770448548818</c:v>
                </c:pt>
                <c:pt idx="17">
                  <c:v>0.69083969465648853</c:v>
                </c:pt>
                <c:pt idx="18">
                  <c:v>0.68742368742368731</c:v>
                </c:pt>
                <c:pt idx="19">
                  <c:v>0.68705882352941172</c:v>
                </c:pt>
                <c:pt idx="20">
                  <c:v>0.63684210526315788</c:v>
                </c:pt>
                <c:pt idx="21">
                  <c:v>0.618978102189781</c:v>
                </c:pt>
                <c:pt idx="22">
                  <c:v>0.60560747663551406</c:v>
                </c:pt>
                <c:pt idx="23">
                  <c:v>0.58292550299075585</c:v>
                </c:pt>
                <c:pt idx="24">
                  <c:v>0.57509881422924902</c:v>
                </c:pt>
                <c:pt idx="25">
                  <c:v>0.56019766397124893</c:v>
                </c:pt>
                <c:pt idx="26">
                  <c:v>0.55126608551266087</c:v>
                </c:pt>
                <c:pt idx="27">
                  <c:v>0.54844961240310075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60-5845-AED1-3910EDD12E35}"/>
            </c:ext>
          </c:extLst>
        </c:ser>
        <c:ser>
          <c:idx val="3"/>
          <c:order val="3"/>
          <c:tx>
            <c:strRef>
              <c:f>quito5!$R$1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quito5!$R$2:$R$29</c:f>
              <c:numCache>
                <c:formatCode>0%</c:formatCode>
                <c:ptCount val="28"/>
                <c:pt idx="0">
                  <c:v>0.69072164948453618</c:v>
                </c:pt>
                <c:pt idx="1">
                  <c:v>0.80368098159509194</c:v>
                </c:pt>
                <c:pt idx="2">
                  <c:v>0.76050420168067234</c:v>
                </c:pt>
                <c:pt idx="3">
                  <c:v>0.77551020408163274</c:v>
                </c:pt>
                <c:pt idx="4">
                  <c:v>0.75071633237822355</c:v>
                </c:pt>
                <c:pt idx="5">
                  <c:v>0.7532133676092545</c:v>
                </c:pt>
                <c:pt idx="6">
                  <c:v>0.7407407407407407</c:v>
                </c:pt>
                <c:pt idx="7">
                  <c:v>0.75921908893709322</c:v>
                </c:pt>
                <c:pt idx="8">
                  <c:v>0.7414829659318638</c:v>
                </c:pt>
                <c:pt idx="9">
                  <c:v>0.73545966228893067</c:v>
                </c:pt>
                <c:pt idx="10">
                  <c:v>0.73015873015873012</c:v>
                </c:pt>
                <c:pt idx="11">
                  <c:v>0.72194304857621439</c:v>
                </c:pt>
                <c:pt idx="12">
                  <c:v>0.71181102362204729</c:v>
                </c:pt>
                <c:pt idx="13">
                  <c:v>0.70827067669172938</c:v>
                </c:pt>
                <c:pt idx="14">
                  <c:v>0.69111424541607891</c:v>
                </c:pt>
                <c:pt idx="15">
                  <c:v>0.69517241379310346</c:v>
                </c:pt>
                <c:pt idx="16">
                  <c:v>0.68469656992084438</c:v>
                </c:pt>
                <c:pt idx="17">
                  <c:v>0.68193384223918585</c:v>
                </c:pt>
                <c:pt idx="18">
                  <c:v>0.68131868131868123</c:v>
                </c:pt>
                <c:pt idx="19">
                  <c:v>0.67294117647058826</c:v>
                </c:pt>
                <c:pt idx="20">
                  <c:v>0.63157894736842102</c:v>
                </c:pt>
                <c:pt idx="21">
                  <c:v>0.61678832116788318</c:v>
                </c:pt>
                <c:pt idx="22">
                  <c:v>0.5937694704049844</c:v>
                </c:pt>
                <c:pt idx="23">
                  <c:v>0.58292550299075585</c:v>
                </c:pt>
                <c:pt idx="24">
                  <c:v>0.57065217391304346</c:v>
                </c:pt>
                <c:pt idx="25">
                  <c:v>0.55615453728661279</c:v>
                </c:pt>
                <c:pt idx="26">
                  <c:v>0.55168119551681194</c:v>
                </c:pt>
                <c:pt idx="27">
                  <c:v>0.5430232558139535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60-5845-AED1-3910EDD12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grid9!$O$1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E-0D43-B942-9D9F1A05DA4E}"/>
            </c:ext>
          </c:extLst>
        </c:ser>
        <c:ser>
          <c:idx val="1"/>
          <c:order val="1"/>
          <c:tx>
            <c:strRef>
              <c:f>grid9!$P$1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grid9!$P$2:$P$29</c:f>
              <c:numCache>
                <c:formatCode>0%</c:formatCode>
                <c:ptCount val="28"/>
                <c:pt idx="0">
                  <c:v>0.72888888888888881</c:v>
                </c:pt>
                <c:pt idx="1">
                  <c:v>0.88353413654618473</c:v>
                </c:pt>
                <c:pt idx="2">
                  <c:v>0.92151556156968861</c:v>
                </c:pt>
                <c:pt idx="3">
                  <c:v>0.95770065075921906</c:v>
                </c:pt>
                <c:pt idx="4">
                  <c:v>0.97558685446009397</c:v>
                </c:pt>
                <c:pt idx="5">
                  <c:v>0.95238095238095244</c:v>
                </c:pt>
                <c:pt idx="6">
                  <c:v>0.95380029806259325</c:v>
                </c:pt>
                <c:pt idx="7">
                  <c:v>0.96090534979423858</c:v>
                </c:pt>
                <c:pt idx="8">
                  <c:v>0.95354838709677425</c:v>
                </c:pt>
                <c:pt idx="9">
                  <c:v>0.97208737864077654</c:v>
                </c:pt>
                <c:pt idx="10">
                  <c:v>0.96645821489482653</c:v>
                </c:pt>
                <c:pt idx="11">
                  <c:v>0.97098334228909189</c:v>
                </c:pt>
                <c:pt idx="12">
                  <c:v>0.96555269922879183</c:v>
                </c:pt>
                <c:pt idx="13">
                  <c:v>0.9731182795698925</c:v>
                </c:pt>
                <c:pt idx="14">
                  <c:v>0.96980956804458895</c:v>
                </c:pt>
                <c:pt idx="15">
                  <c:v>0.96414342629482075</c:v>
                </c:pt>
                <c:pt idx="16">
                  <c:v>0.9653423499577346</c:v>
                </c:pt>
                <c:pt idx="17">
                  <c:v>0.96822810590631359</c:v>
                </c:pt>
                <c:pt idx="18">
                  <c:v>0.97669826224328604</c:v>
                </c:pt>
                <c:pt idx="19">
                  <c:v>0.97611827141774066</c:v>
                </c:pt>
                <c:pt idx="20">
                  <c:v>0.96858493188768413</c:v>
                </c:pt>
                <c:pt idx="21">
                  <c:v>0.97489446789602308</c:v>
                </c:pt>
                <c:pt idx="22">
                  <c:v>0.96439060205580029</c:v>
                </c:pt>
                <c:pt idx="23">
                  <c:v>0.97612270714737503</c:v>
                </c:pt>
                <c:pt idx="24">
                  <c:v>0.98086592178770948</c:v>
                </c:pt>
                <c:pt idx="25">
                  <c:v>0.97706137631742096</c:v>
                </c:pt>
                <c:pt idx="26">
                  <c:v>0.97594501718213056</c:v>
                </c:pt>
                <c:pt idx="27">
                  <c:v>0.97901171676006116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E-0D43-B942-9D9F1A05DA4E}"/>
            </c:ext>
          </c:extLst>
        </c:ser>
        <c:ser>
          <c:idx val="2"/>
          <c:order val="2"/>
          <c:tx>
            <c:strRef>
              <c:f>grid9!$Q$1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grid9!$Q$2:$Q$29</c:f>
              <c:numCache>
                <c:formatCode>0%</c:formatCode>
                <c:ptCount val="28"/>
                <c:pt idx="0">
                  <c:v>1.0933333333333335</c:v>
                </c:pt>
                <c:pt idx="1">
                  <c:v>0.97590361445783136</c:v>
                </c:pt>
                <c:pt idx="2">
                  <c:v>0.90933694181326108</c:v>
                </c:pt>
                <c:pt idx="3">
                  <c:v>0.88937093275488066</c:v>
                </c:pt>
                <c:pt idx="4">
                  <c:v>0.9117370892018779</c:v>
                </c:pt>
                <c:pt idx="5">
                  <c:v>0.88423645320197053</c:v>
                </c:pt>
                <c:pt idx="6">
                  <c:v>0.88077496274217593</c:v>
                </c:pt>
                <c:pt idx="7">
                  <c:v>0.86968449931412883</c:v>
                </c:pt>
                <c:pt idx="8">
                  <c:v>0.86580645161290315</c:v>
                </c:pt>
                <c:pt idx="9">
                  <c:v>0.86529126213592222</c:v>
                </c:pt>
                <c:pt idx="10">
                  <c:v>0.8618533257532689</c:v>
                </c:pt>
                <c:pt idx="11">
                  <c:v>0.8538420204191296</c:v>
                </c:pt>
                <c:pt idx="12">
                  <c:v>0.85295629820051422</c:v>
                </c:pt>
                <c:pt idx="13">
                  <c:v>0.84555229716520042</c:v>
                </c:pt>
                <c:pt idx="14">
                  <c:v>0.8411518810961448</c:v>
                </c:pt>
                <c:pt idx="15">
                  <c:v>0.83134130146082341</c:v>
                </c:pt>
                <c:pt idx="16">
                  <c:v>0.8224852071005917</c:v>
                </c:pt>
                <c:pt idx="17">
                  <c:v>0.82199592668024446</c:v>
                </c:pt>
                <c:pt idx="18">
                  <c:v>0.82424960505529221</c:v>
                </c:pt>
                <c:pt idx="19">
                  <c:v>0.8172858225928733</c:v>
                </c:pt>
                <c:pt idx="20">
                  <c:v>0.78092855157075336</c:v>
                </c:pt>
                <c:pt idx="21">
                  <c:v>0.76116418573650302</c:v>
                </c:pt>
                <c:pt idx="22">
                  <c:v>0.73825256975036713</c:v>
                </c:pt>
                <c:pt idx="23">
                  <c:v>0.72454142947501587</c:v>
                </c:pt>
                <c:pt idx="24">
                  <c:v>0.71312849162011172</c:v>
                </c:pt>
                <c:pt idx="25">
                  <c:v>0.69919404835709853</c:v>
                </c:pt>
                <c:pt idx="26">
                  <c:v>0.68384879725085912</c:v>
                </c:pt>
                <c:pt idx="27">
                  <c:v>0.67824758023433529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E-0D43-B942-9D9F1A05DA4E}"/>
            </c:ext>
          </c:extLst>
        </c:ser>
        <c:ser>
          <c:idx val="3"/>
          <c:order val="3"/>
          <c:tx>
            <c:strRef>
              <c:f>grid9!$R$1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grid9!$R$2:$R$29</c:f>
              <c:numCache>
                <c:formatCode>0%</c:formatCode>
                <c:ptCount val="28"/>
                <c:pt idx="0">
                  <c:v>0.64888888888888885</c:v>
                </c:pt>
                <c:pt idx="1">
                  <c:v>0.72891566265060237</c:v>
                </c:pt>
                <c:pt idx="2">
                  <c:v>0.78078484438430307</c:v>
                </c:pt>
                <c:pt idx="3">
                  <c:v>0.824295010845987</c:v>
                </c:pt>
                <c:pt idx="4">
                  <c:v>0.83380281690140845</c:v>
                </c:pt>
                <c:pt idx="5">
                  <c:v>0.83579638752052543</c:v>
                </c:pt>
                <c:pt idx="6">
                  <c:v>0.83606557377049184</c:v>
                </c:pt>
                <c:pt idx="7">
                  <c:v>0.83401920438957466</c:v>
                </c:pt>
                <c:pt idx="8">
                  <c:v>0.82774193548387109</c:v>
                </c:pt>
                <c:pt idx="9">
                  <c:v>0.82281553398058238</c:v>
                </c:pt>
                <c:pt idx="10">
                  <c:v>0.82717453098351335</c:v>
                </c:pt>
                <c:pt idx="11">
                  <c:v>0.81998925308973669</c:v>
                </c:pt>
                <c:pt idx="12">
                  <c:v>0.81748071979434445</c:v>
                </c:pt>
                <c:pt idx="13">
                  <c:v>0.81182795698924726</c:v>
                </c:pt>
                <c:pt idx="14">
                  <c:v>0.81746400371574546</c:v>
                </c:pt>
                <c:pt idx="15">
                  <c:v>0.80168216024789729</c:v>
                </c:pt>
                <c:pt idx="16">
                  <c:v>0.7941673710904481</c:v>
                </c:pt>
                <c:pt idx="17">
                  <c:v>0.7947046843177189</c:v>
                </c:pt>
                <c:pt idx="18">
                  <c:v>0.79581358609794628</c:v>
                </c:pt>
                <c:pt idx="19">
                  <c:v>0.79567854435178165</c:v>
                </c:pt>
                <c:pt idx="20">
                  <c:v>0.75896580483736453</c:v>
                </c:pt>
                <c:pt idx="21">
                  <c:v>0.74694512330593199</c:v>
                </c:pt>
                <c:pt idx="22">
                  <c:v>0.72209985315712188</c:v>
                </c:pt>
                <c:pt idx="23">
                  <c:v>0.71616065781151172</c:v>
                </c:pt>
                <c:pt idx="24">
                  <c:v>0.70726256983240221</c:v>
                </c:pt>
                <c:pt idx="25">
                  <c:v>0.69225046497210163</c:v>
                </c:pt>
                <c:pt idx="26">
                  <c:v>0.6764216827402727</c:v>
                </c:pt>
                <c:pt idx="27">
                  <c:v>0.67244014263881813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CE-0D43-B942-9D9F1A05D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guadalupe16!$O$1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93-7F43-8842-4CFD87BAE93B}"/>
            </c:ext>
          </c:extLst>
        </c:ser>
        <c:ser>
          <c:idx val="1"/>
          <c:order val="1"/>
          <c:tx>
            <c:strRef>
              <c:f>guadalupe16!$P$1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guadalupe16!$P$2:$P$29</c:f>
              <c:numCache>
                <c:formatCode>0%</c:formatCode>
                <c:ptCount val="28"/>
                <c:pt idx="0">
                  <c:v>0.73691275167785231</c:v>
                </c:pt>
                <c:pt idx="1">
                  <c:v>0.9100817438692097</c:v>
                </c:pt>
                <c:pt idx="2">
                  <c:v>0.92889087656529512</c:v>
                </c:pt>
                <c:pt idx="3">
                  <c:v>0.93429158110882959</c:v>
                </c:pt>
                <c:pt idx="4">
                  <c:v>0.95317529997073458</c:v>
                </c:pt>
                <c:pt idx="5">
                  <c:v>0.967741935483871</c:v>
                </c:pt>
                <c:pt idx="6">
                  <c:v>0.96697999517956135</c:v>
                </c:pt>
                <c:pt idx="7">
                  <c:v>0.97964661149630949</c:v>
                </c:pt>
                <c:pt idx="8">
                  <c:v>0.98003782307207399</c:v>
                </c:pt>
                <c:pt idx="9">
                  <c:v>0.97228773584905659</c:v>
                </c:pt>
                <c:pt idx="10">
                  <c:v>0.98417184850197836</c:v>
                </c:pt>
                <c:pt idx="11">
                  <c:v>0.98378185706647647</c:v>
                </c:pt>
                <c:pt idx="12">
                  <c:v>0.97803133514986362</c:v>
                </c:pt>
                <c:pt idx="13">
                  <c:v>0.98511856091578087</c:v>
                </c:pt>
                <c:pt idx="14">
                  <c:v>0.98301619751533265</c:v>
                </c:pt>
                <c:pt idx="15">
                  <c:v>0.9857402912621358</c:v>
                </c:pt>
                <c:pt idx="16">
                  <c:v>0.98370197904540158</c:v>
                </c:pt>
                <c:pt idx="17">
                  <c:v>0.98241170676797529</c:v>
                </c:pt>
                <c:pt idx="18">
                  <c:v>0.98460070863995641</c:v>
                </c:pt>
                <c:pt idx="19">
                  <c:v>0.98607827685841865</c:v>
                </c:pt>
                <c:pt idx="20">
                  <c:v>0.98313492063492058</c:v>
                </c:pt>
                <c:pt idx="21">
                  <c:v>0.98642172523961658</c:v>
                </c:pt>
                <c:pt idx="22">
                  <c:v>0.98678590496529617</c:v>
                </c:pt>
                <c:pt idx="23">
                  <c:v>0.98909531502423254</c:v>
                </c:pt>
                <c:pt idx="24">
                  <c:v>0.98787572619348318</c:v>
                </c:pt>
                <c:pt idx="25">
                  <c:v>0.98853894052883329</c:v>
                </c:pt>
                <c:pt idx="26">
                  <c:v>0.9878394811511958</c:v>
                </c:pt>
                <c:pt idx="27">
                  <c:v>0.98995254337831828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93-7F43-8842-4CFD87BAE93B}"/>
            </c:ext>
          </c:extLst>
        </c:ser>
        <c:ser>
          <c:idx val="2"/>
          <c:order val="2"/>
          <c:tx>
            <c:strRef>
              <c:f>guadalupe16!$Q$1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guadalupe16!$Q$2:$Q$29</c:f>
              <c:numCache>
                <c:formatCode>0%</c:formatCode>
                <c:ptCount val="28"/>
                <c:pt idx="0">
                  <c:v>1.2000000000000002</c:v>
                </c:pt>
                <c:pt idx="1">
                  <c:v>1.0912806539509534</c:v>
                </c:pt>
                <c:pt idx="2">
                  <c:v>1.0089445438282647</c:v>
                </c:pt>
                <c:pt idx="3">
                  <c:v>0.9455852156057496</c:v>
                </c:pt>
                <c:pt idx="4">
                  <c:v>0.95083406496927125</c:v>
                </c:pt>
                <c:pt idx="5">
                  <c:v>0.94979188345473475</c:v>
                </c:pt>
                <c:pt idx="6">
                  <c:v>0.94119064834899979</c:v>
                </c:pt>
                <c:pt idx="7">
                  <c:v>0.94095280697830452</c:v>
                </c:pt>
                <c:pt idx="8">
                  <c:v>0.9392729565034672</c:v>
                </c:pt>
                <c:pt idx="9">
                  <c:v>0.93199685534591192</c:v>
                </c:pt>
                <c:pt idx="10">
                  <c:v>0.9327303561334086</c:v>
                </c:pt>
                <c:pt idx="11">
                  <c:v>0.92158260559615046</c:v>
                </c:pt>
                <c:pt idx="12">
                  <c:v>0.91025204359673018</c:v>
                </c:pt>
                <c:pt idx="13">
                  <c:v>0.90989370400654124</c:v>
                </c:pt>
                <c:pt idx="14">
                  <c:v>0.90784714577763792</c:v>
                </c:pt>
                <c:pt idx="15">
                  <c:v>0.90609830097087363</c:v>
                </c:pt>
                <c:pt idx="16">
                  <c:v>0.90046565774155984</c:v>
                </c:pt>
                <c:pt idx="17">
                  <c:v>0.89615871675812575</c:v>
                </c:pt>
                <c:pt idx="18">
                  <c:v>0.89315889888252931</c:v>
                </c:pt>
                <c:pt idx="19">
                  <c:v>0.89466771736275286</c:v>
                </c:pt>
                <c:pt idx="20">
                  <c:v>0.87301587301587302</c:v>
                </c:pt>
                <c:pt idx="21">
                  <c:v>0.86086261980830669</c:v>
                </c:pt>
                <c:pt idx="22">
                  <c:v>0.8514415376401494</c:v>
                </c:pt>
                <c:pt idx="23">
                  <c:v>0.84571890145395789</c:v>
                </c:pt>
                <c:pt idx="24">
                  <c:v>0.83925233644859809</c:v>
                </c:pt>
                <c:pt idx="25">
                  <c:v>0.83471708329573158</c:v>
                </c:pt>
                <c:pt idx="26">
                  <c:v>0.83007701661937572</c:v>
                </c:pt>
                <c:pt idx="27">
                  <c:v>0.82574521726234618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3-7F43-8842-4CFD87BAE93B}"/>
            </c:ext>
          </c:extLst>
        </c:ser>
        <c:ser>
          <c:idx val="3"/>
          <c:order val="3"/>
          <c:tx>
            <c:strRef>
              <c:f>guadalupe16!$R$1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guadalupe16!$R$2:$R$29</c:f>
              <c:numCache>
                <c:formatCode>0%</c:formatCode>
                <c:ptCount val="28"/>
                <c:pt idx="0">
                  <c:v>0.73422818791946309</c:v>
                </c:pt>
                <c:pt idx="1">
                  <c:v>0.80653950953678477</c:v>
                </c:pt>
                <c:pt idx="2">
                  <c:v>0.85241502683363146</c:v>
                </c:pt>
                <c:pt idx="3">
                  <c:v>0.84428473648186175</c:v>
                </c:pt>
                <c:pt idx="4">
                  <c:v>0.86391571553994728</c:v>
                </c:pt>
                <c:pt idx="5">
                  <c:v>0.88865764828303861</c:v>
                </c:pt>
                <c:pt idx="6">
                  <c:v>0.88599662569293813</c:v>
                </c:pt>
                <c:pt idx="7">
                  <c:v>0.89532543055244906</c:v>
                </c:pt>
                <c:pt idx="8">
                  <c:v>0.90565244799327593</c:v>
                </c:pt>
                <c:pt idx="9">
                  <c:v>0.89838836477987427</c:v>
                </c:pt>
                <c:pt idx="10">
                  <c:v>0.90484266063689456</c:v>
                </c:pt>
                <c:pt idx="11">
                  <c:v>0.89930493673142042</c:v>
                </c:pt>
                <c:pt idx="12">
                  <c:v>0.89168937329700271</c:v>
                </c:pt>
                <c:pt idx="13">
                  <c:v>0.88977923139820114</c:v>
                </c:pt>
                <c:pt idx="14">
                  <c:v>0.88834722440635316</c:v>
                </c:pt>
                <c:pt idx="15">
                  <c:v>0.88698422330097093</c:v>
                </c:pt>
                <c:pt idx="16">
                  <c:v>0.88591385331781125</c:v>
                </c:pt>
                <c:pt idx="17">
                  <c:v>0.88279161390178684</c:v>
                </c:pt>
                <c:pt idx="18">
                  <c:v>0.87789588443717648</c:v>
                </c:pt>
                <c:pt idx="19">
                  <c:v>0.87706855791962168</c:v>
                </c:pt>
                <c:pt idx="20">
                  <c:v>0.86438492063492056</c:v>
                </c:pt>
                <c:pt idx="21">
                  <c:v>0.8514376996805112</c:v>
                </c:pt>
                <c:pt idx="22">
                  <c:v>0.84476775226908696</c:v>
                </c:pt>
                <c:pt idx="23">
                  <c:v>0.8406415878144472</c:v>
                </c:pt>
                <c:pt idx="24">
                  <c:v>0.83404900227330137</c:v>
                </c:pt>
                <c:pt idx="25">
                  <c:v>0.82957314321812115</c:v>
                </c:pt>
                <c:pt idx="26">
                  <c:v>0.825780299959465</c:v>
                </c:pt>
                <c:pt idx="27">
                  <c:v>0.82118493252261615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93-7F43-8842-4CFD87BAE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strings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(gadgets use only 5 qubits)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'grid9-5'!$O$1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4A-7F41-B375-FD6EAB5DE8D8}"/>
            </c:ext>
          </c:extLst>
        </c:ser>
        <c:ser>
          <c:idx val="1"/>
          <c:order val="1"/>
          <c:tx>
            <c:strRef>
              <c:f>'grid9-5'!$P$1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'grid9-5'!$P$2:$P$29</c:f>
              <c:numCache>
                <c:formatCode>0%</c:formatCode>
                <c:ptCount val="28"/>
                <c:pt idx="0">
                  <c:v>1.0393700787401574</c:v>
                </c:pt>
                <c:pt idx="1">
                  <c:v>0.97021276595744688</c:v>
                </c:pt>
                <c:pt idx="2">
                  <c:v>1.0273037542662116</c:v>
                </c:pt>
                <c:pt idx="3">
                  <c:v>0.96587926509186339</c:v>
                </c:pt>
                <c:pt idx="4">
                  <c:v>0.96976744186046515</c:v>
                </c:pt>
                <c:pt idx="5">
                  <c:v>0.9621052631578948</c:v>
                </c:pt>
                <c:pt idx="6">
                  <c:v>0.94402985074626866</c:v>
                </c:pt>
                <c:pt idx="7">
                  <c:v>0.93760831889081453</c:v>
                </c:pt>
                <c:pt idx="8">
                  <c:v>0.91853035143769968</c:v>
                </c:pt>
                <c:pt idx="9">
                  <c:v>0.87146892655367236</c:v>
                </c:pt>
                <c:pt idx="10">
                  <c:v>0.91456582633053207</c:v>
                </c:pt>
                <c:pt idx="11">
                  <c:v>0.91587516960651283</c:v>
                </c:pt>
                <c:pt idx="12">
                  <c:v>0.91037131882202305</c:v>
                </c:pt>
                <c:pt idx="13">
                  <c:v>0.88755980861244033</c:v>
                </c:pt>
                <c:pt idx="14">
                  <c:v>0.90046296296296291</c:v>
                </c:pt>
                <c:pt idx="15">
                  <c:v>0.88461538461538458</c:v>
                </c:pt>
                <c:pt idx="16">
                  <c:v>0.89547413793103448</c:v>
                </c:pt>
                <c:pt idx="17">
                  <c:v>0.91341077085533262</c:v>
                </c:pt>
                <c:pt idx="18">
                  <c:v>0.89</c:v>
                </c:pt>
                <c:pt idx="19">
                  <c:v>0.89970788704965921</c:v>
                </c:pt>
                <c:pt idx="20">
                  <c:v>0.85103349964362074</c:v>
                </c:pt>
                <c:pt idx="21">
                  <c:v>0.85323826500297084</c:v>
                </c:pt>
                <c:pt idx="22">
                  <c:v>0.8437185929648241</c:v>
                </c:pt>
                <c:pt idx="23">
                  <c:v>0.86843307446322515</c:v>
                </c:pt>
                <c:pt idx="24">
                  <c:v>0.85197368421052633</c:v>
                </c:pt>
                <c:pt idx="25">
                  <c:v>0.84521610639083866</c:v>
                </c:pt>
                <c:pt idx="26">
                  <c:v>0.85359972442301069</c:v>
                </c:pt>
                <c:pt idx="27">
                  <c:v>0.85654008438818552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4A-7F41-B375-FD6EAB5DE8D8}"/>
            </c:ext>
          </c:extLst>
        </c:ser>
        <c:ser>
          <c:idx val="2"/>
          <c:order val="2"/>
          <c:tx>
            <c:strRef>
              <c:f>'grid9-5'!$Q$1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'grid9-5'!$Q$2:$Q$29</c:f>
              <c:numCache>
                <c:formatCode>0%</c:formatCode>
                <c:ptCount val="28"/>
                <c:pt idx="0">
                  <c:v>1.0866141732283465</c:v>
                </c:pt>
                <c:pt idx="1">
                  <c:v>1.0851063829787233</c:v>
                </c:pt>
                <c:pt idx="2">
                  <c:v>1.122866894197952</c:v>
                </c:pt>
                <c:pt idx="3">
                  <c:v>1.094488188976378</c:v>
                </c:pt>
                <c:pt idx="4">
                  <c:v>1.1046511627906976</c:v>
                </c:pt>
                <c:pt idx="5">
                  <c:v>1.071578947368421</c:v>
                </c:pt>
                <c:pt idx="6">
                  <c:v>1.0578358208955223</c:v>
                </c:pt>
                <c:pt idx="7">
                  <c:v>1.0606585788561524</c:v>
                </c:pt>
                <c:pt idx="8">
                  <c:v>1.0415335463258786</c:v>
                </c:pt>
                <c:pt idx="9">
                  <c:v>1.0098870056497176</c:v>
                </c:pt>
                <c:pt idx="10">
                  <c:v>1.0336134453781511</c:v>
                </c:pt>
                <c:pt idx="11">
                  <c:v>1.0474898236092265</c:v>
                </c:pt>
                <c:pt idx="12">
                  <c:v>1.0384122919334187</c:v>
                </c:pt>
                <c:pt idx="13">
                  <c:v>0.95454545454545459</c:v>
                </c:pt>
                <c:pt idx="14">
                  <c:v>0.98611111111111105</c:v>
                </c:pt>
                <c:pt idx="15">
                  <c:v>0.94945054945054952</c:v>
                </c:pt>
                <c:pt idx="16">
                  <c:v>0.95474137931034475</c:v>
                </c:pt>
                <c:pt idx="17">
                  <c:v>0.9672650475184793</c:v>
                </c:pt>
                <c:pt idx="18">
                  <c:v>0.94</c:v>
                </c:pt>
                <c:pt idx="19">
                  <c:v>0.94157740993184036</c:v>
                </c:pt>
                <c:pt idx="20">
                  <c:v>0.84746970776906627</c:v>
                </c:pt>
                <c:pt idx="21">
                  <c:v>0.78669043374925729</c:v>
                </c:pt>
                <c:pt idx="22">
                  <c:v>0.75477386934673363</c:v>
                </c:pt>
                <c:pt idx="23">
                  <c:v>0.71859296482412061</c:v>
                </c:pt>
                <c:pt idx="24">
                  <c:v>0.69695723684210531</c:v>
                </c:pt>
                <c:pt idx="25">
                  <c:v>0.66974510528260078</c:v>
                </c:pt>
                <c:pt idx="26">
                  <c:v>0.64553909748535998</c:v>
                </c:pt>
                <c:pt idx="27">
                  <c:v>0.62966569295683217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4A-7F41-B375-FD6EAB5DE8D8}"/>
            </c:ext>
          </c:extLst>
        </c:ser>
        <c:ser>
          <c:idx val="3"/>
          <c:order val="3"/>
          <c:tx>
            <c:strRef>
              <c:f>'grid9-5'!$R$1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'grid9-5'!$R$2:$R$29</c:f>
              <c:numCache>
                <c:formatCode>0%</c:formatCode>
                <c:ptCount val="28"/>
                <c:pt idx="0">
                  <c:v>0.952755905511811</c:v>
                </c:pt>
                <c:pt idx="1">
                  <c:v>0.84680851063829776</c:v>
                </c:pt>
                <c:pt idx="2">
                  <c:v>0.88395904436860062</c:v>
                </c:pt>
                <c:pt idx="3">
                  <c:v>0.82414698162729649</c:v>
                </c:pt>
                <c:pt idx="4">
                  <c:v>0.81395348837209303</c:v>
                </c:pt>
                <c:pt idx="5">
                  <c:v>0.82105263157894737</c:v>
                </c:pt>
                <c:pt idx="6">
                  <c:v>0.79291044776119401</c:v>
                </c:pt>
                <c:pt idx="7">
                  <c:v>0.77469670710571925</c:v>
                </c:pt>
                <c:pt idx="8">
                  <c:v>0.74760383386581464</c:v>
                </c:pt>
                <c:pt idx="9">
                  <c:v>0.7076271186440678</c:v>
                </c:pt>
                <c:pt idx="10">
                  <c:v>0.73529411764705876</c:v>
                </c:pt>
                <c:pt idx="11">
                  <c:v>0.73677069199457257</c:v>
                </c:pt>
                <c:pt idx="12">
                  <c:v>0.71446862996158778</c:v>
                </c:pt>
                <c:pt idx="13">
                  <c:v>0.69617224880382789</c:v>
                </c:pt>
                <c:pt idx="14">
                  <c:v>0.69560185185185186</c:v>
                </c:pt>
                <c:pt idx="15">
                  <c:v>0.68571428571428572</c:v>
                </c:pt>
                <c:pt idx="16">
                  <c:v>0.68642241379310354</c:v>
                </c:pt>
                <c:pt idx="17">
                  <c:v>0.69482576557550157</c:v>
                </c:pt>
                <c:pt idx="18">
                  <c:v>0.67700000000000005</c:v>
                </c:pt>
                <c:pt idx="19">
                  <c:v>0.68257059396299891</c:v>
                </c:pt>
                <c:pt idx="20">
                  <c:v>0.60655737704918022</c:v>
                </c:pt>
                <c:pt idx="21">
                  <c:v>0.58229352346999397</c:v>
                </c:pt>
                <c:pt idx="22">
                  <c:v>0.55778894472361806</c:v>
                </c:pt>
                <c:pt idx="23">
                  <c:v>0.55367747830059388</c:v>
                </c:pt>
                <c:pt idx="24">
                  <c:v>0.53618421052631582</c:v>
                </c:pt>
                <c:pt idx="25">
                  <c:v>0.51791651274473582</c:v>
                </c:pt>
                <c:pt idx="26">
                  <c:v>0.5049948329314502</c:v>
                </c:pt>
                <c:pt idx="27">
                  <c:v>0.50503083414475813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4A-7F41-B375-FD6EAB5DE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(gadgets use only 8 qubits) 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'guadalupe16-8'!$O$1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CD-634A-B498-03CB4DAFCAAE}"/>
            </c:ext>
          </c:extLst>
        </c:ser>
        <c:ser>
          <c:idx val="1"/>
          <c:order val="1"/>
          <c:tx>
            <c:strRef>
              <c:f>'guadalupe16-8'!$P$1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'guadalupe16-8'!$P$2:$P$29</c:f>
              <c:numCache>
                <c:formatCode>0%</c:formatCode>
                <c:ptCount val="28"/>
                <c:pt idx="0">
                  <c:v>0.46666666666666667</c:v>
                </c:pt>
                <c:pt idx="1">
                  <c:v>0.56309523809523809</c:v>
                </c:pt>
                <c:pt idx="2">
                  <c:v>0.61000944287063263</c:v>
                </c:pt>
                <c:pt idx="3">
                  <c:v>0.65121759622937947</c:v>
                </c:pt>
                <c:pt idx="4">
                  <c:v>0.65927419354838701</c:v>
                </c:pt>
                <c:pt idx="5">
                  <c:v>0.67777777777777781</c:v>
                </c:pt>
                <c:pt idx="6">
                  <c:v>0.67020681945220795</c:v>
                </c:pt>
                <c:pt idx="7">
                  <c:v>0.68646694214876036</c:v>
                </c:pt>
                <c:pt idx="8">
                  <c:v>0.69691119691119696</c:v>
                </c:pt>
                <c:pt idx="9">
                  <c:v>0.70947176684881608</c:v>
                </c:pt>
                <c:pt idx="10">
                  <c:v>0.71755066839154813</c:v>
                </c:pt>
                <c:pt idx="11">
                  <c:v>0.7087845968712394</c:v>
                </c:pt>
                <c:pt idx="12">
                  <c:v>0.71450498848810429</c:v>
                </c:pt>
                <c:pt idx="13">
                  <c:v>0.71512481644640247</c:v>
                </c:pt>
                <c:pt idx="14">
                  <c:v>0.71378951024661341</c:v>
                </c:pt>
                <c:pt idx="15">
                  <c:v>0.72540431266846361</c:v>
                </c:pt>
                <c:pt idx="16">
                  <c:v>0.73344155844155845</c:v>
                </c:pt>
                <c:pt idx="17">
                  <c:v>0.72977146386658431</c:v>
                </c:pt>
                <c:pt idx="18">
                  <c:v>0.72192671394799057</c:v>
                </c:pt>
                <c:pt idx="19">
                  <c:v>0.73724117818606016</c:v>
                </c:pt>
                <c:pt idx="20">
                  <c:v>0.75125573269272772</c:v>
                </c:pt>
                <c:pt idx="21">
                  <c:v>0.76678383128295258</c:v>
                </c:pt>
                <c:pt idx="22">
                  <c:v>0.77054540050527565</c:v>
                </c:pt>
                <c:pt idx="23">
                  <c:v>0.78150393396104734</c:v>
                </c:pt>
                <c:pt idx="24">
                  <c:v>0.78013941263855557</c:v>
                </c:pt>
                <c:pt idx="25">
                  <c:v>0.78966408268733845</c:v>
                </c:pt>
                <c:pt idx="26">
                  <c:v>0.7904672897196261</c:v>
                </c:pt>
                <c:pt idx="27">
                  <c:v>0.79378967232801512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CD-634A-B498-03CB4DAFCAAE}"/>
            </c:ext>
          </c:extLst>
        </c:ser>
        <c:ser>
          <c:idx val="2"/>
          <c:order val="2"/>
          <c:tx>
            <c:strRef>
              <c:f>'guadalupe16-8'!$Q$1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'guadalupe16-8'!$Q$2:$Q$29</c:f>
              <c:numCache>
                <c:formatCode>0%</c:formatCode>
                <c:ptCount val="28"/>
                <c:pt idx="0">
                  <c:v>1.1037037037037036</c:v>
                </c:pt>
                <c:pt idx="1">
                  <c:v>1.2678571428571428</c:v>
                </c:pt>
                <c:pt idx="2">
                  <c:v>1.2842304060434371</c:v>
                </c:pt>
                <c:pt idx="3">
                  <c:v>1.2765121759622937</c:v>
                </c:pt>
                <c:pt idx="4">
                  <c:v>1.2190860215053763</c:v>
                </c:pt>
                <c:pt idx="5">
                  <c:v>1.2166666666666666</c:v>
                </c:pt>
                <c:pt idx="6">
                  <c:v>1.2168809390721071</c:v>
                </c:pt>
                <c:pt idx="7">
                  <c:v>1.2133264462809918</c:v>
                </c:pt>
                <c:pt idx="8">
                  <c:v>1.2239382239382239</c:v>
                </c:pt>
                <c:pt idx="9">
                  <c:v>1.2454462659380692</c:v>
                </c:pt>
                <c:pt idx="10">
                  <c:v>1.2225097024579561</c:v>
                </c:pt>
                <c:pt idx="11">
                  <c:v>1.1648616125150419</c:v>
                </c:pt>
                <c:pt idx="12">
                  <c:v>1.1903300076745968</c:v>
                </c:pt>
                <c:pt idx="13">
                  <c:v>1.154919236417034</c:v>
                </c:pt>
                <c:pt idx="14">
                  <c:v>1.1299062174366101</c:v>
                </c:pt>
                <c:pt idx="15">
                  <c:v>1.1401617250673852</c:v>
                </c:pt>
                <c:pt idx="16">
                  <c:v>1.130844155844156</c:v>
                </c:pt>
                <c:pt idx="17">
                  <c:v>1.1124150710315008</c:v>
                </c:pt>
                <c:pt idx="18">
                  <c:v>1.0859929078014185</c:v>
                </c:pt>
                <c:pt idx="19">
                  <c:v>1.1149023038786818</c:v>
                </c:pt>
                <c:pt idx="20">
                  <c:v>1.0220572177331295</c:v>
                </c:pt>
                <c:pt idx="21">
                  <c:v>0.96977152899824248</c:v>
                </c:pt>
                <c:pt idx="22">
                  <c:v>0.94115024520731161</c:v>
                </c:pt>
                <c:pt idx="23">
                  <c:v>0.91009931639365416</c:v>
                </c:pt>
                <c:pt idx="24">
                  <c:v>0.90172551708376181</c:v>
                </c:pt>
                <c:pt idx="25">
                  <c:v>0.86087855297157623</c:v>
                </c:pt>
                <c:pt idx="26">
                  <c:v>0.82056074766355136</c:v>
                </c:pt>
                <c:pt idx="27">
                  <c:v>0.79353233830845771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CD-634A-B498-03CB4DAFCAAE}"/>
            </c:ext>
          </c:extLst>
        </c:ser>
        <c:ser>
          <c:idx val="3"/>
          <c:order val="3"/>
          <c:tx>
            <c:strRef>
              <c:f>'guadalupe16-8'!$R$1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'guadalupe16-8'!$R$2:$R$29</c:f>
              <c:numCache>
                <c:formatCode>0%</c:formatCode>
                <c:ptCount val="28"/>
                <c:pt idx="0">
                  <c:v>0.47592592592592592</c:v>
                </c:pt>
                <c:pt idx="1">
                  <c:v>0.56190476190476191</c:v>
                </c:pt>
                <c:pt idx="2">
                  <c:v>0.60339943342776203</c:v>
                </c:pt>
                <c:pt idx="3">
                  <c:v>0.64886095836606439</c:v>
                </c:pt>
                <c:pt idx="4">
                  <c:v>0.63844086021505375</c:v>
                </c:pt>
                <c:pt idx="5">
                  <c:v>0.64629629629629637</c:v>
                </c:pt>
                <c:pt idx="6">
                  <c:v>0.64114030184460591</c:v>
                </c:pt>
                <c:pt idx="7">
                  <c:v>0.65547520661157033</c:v>
                </c:pt>
                <c:pt idx="8">
                  <c:v>0.63658301158301167</c:v>
                </c:pt>
                <c:pt idx="9">
                  <c:v>0.6634790528233151</c:v>
                </c:pt>
                <c:pt idx="10">
                  <c:v>0.65286761535144455</c:v>
                </c:pt>
                <c:pt idx="11">
                  <c:v>0.64620938628158842</c:v>
                </c:pt>
                <c:pt idx="12">
                  <c:v>0.64198004604758252</c:v>
                </c:pt>
                <c:pt idx="13">
                  <c:v>0.64500734214390598</c:v>
                </c:pt>
                <c:pt idx="14">
                  <c:v>0.63146926015977778</c:v>
                </c:pt>
                <c:pt idx="15">
                  <c:v>0.63948787061994605</c:v>
                </c:pt>
                <c:pt idx="16">
                  <c:v>0.63863636363636356</c:v>
                </c:pt>
                <c:pt idx="17">
                  <c:v>0.62909203211859166</c:v>
                </c:pt>
                <c:pt idx="18">
                  <c:v>0.61317966903073295</c:v>
                </c:pt>
                <c:pt idx="19">
                  <c:v>0.62321376494604841</c:v>
                </c:pt>
                <c:pt idx="20">
                  <c:v>0.60449879886438096</c:v>
                </c:pt>
                <c:pt idx="21">
                  <c:v>0.58312829525483301</c:v>
                </c:pt>
                <c:pt idx="22">
                  <c:v>0.57437955119631445</c:v>
                </c:pt>
                <c:pt idx="23">
                  <c:v>0.56326583258093643</c:v>
                </c:pt>
                <c:pt idx="24">
                  <c:v>0.55479373785853048</c:v>
                </c:pt>
                <c:pt idx="25">
                  <c:v>0.54759689922480614</c:v>
                </c:pt>
                <c:pt idx="26">
                  <c:v>0.54186915887850462</c:v>
                </c:pt>
                <c:pt idx="27">
                  <c:v>0.53396809058157491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CD-634A-B498-03CB4DAFC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(gadgets have max 8 legs)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'guadalupe16-8legs'!$O$1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91-E043-AC97-4D581D918294}"/>
            </c:ext>
          </c:extLst>
        </c:ser>
        <c:ser>
          <c:idx val="1"/>
          <c:order val="1"/>
          <c:tx>
            <c:strRef>
              <c:f>'guadalupe16-8legs'!$P$1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'guadalupe16-8legs'!$P$2:$P$29</c:f>
              <c:numCache>
                <c:formatCode>0%</c:formatCode>
                <c:ptCount val="28"/>
                <c:pt idx="0">
                  <c:v>0.54487179487179493</c:v>
                </c:pt>
                <c:pt idx="1">
                  <c:v>0.67947516401124641</c:v>
                </c:pt>
                <c:pt idx="2">
                  <c:v>0.74400518470511978</c:v>
                </c:pt>
                <c:pt idx="3">
                  <c:v>0.81437125748503003</c:v>
                </c:pt>
                <c:pt idx="4">
                  <c:v>0.86337543053960963</c:v>
                </c:pt>
                <c:pt idx="5">
                  <c:v>0.93676277850589773</c:v>
                </c:pt>
                <c:pt idx="6">
                  <c:v>0.92471843509187912</c:v>
                </c:pt>
                <c:pt idx="7">
                  <c:v>0.94346568498553773</c:v>
                </c:pt>
                <c:pt idx="8">
                  <c:v>0.94686346863468629</c:v>
                </c:pt>
                <c:pt idx="9">
                  <c:v>0.95301558617573978</c:v>
                </c:pt>
                <c:pt idx="10">
                  <c:v>0.95073576455534237</c:v>
                </c:pt>
                <c:pt idx="11">
                  <c:v>0.96722979849379198</c:v>
                </c:pt>
                <c:pt idx="12">
                  <c:v>0.97556245151280063</c:v>
                </c:pt>
                <c:pt idx="13">
                  <c:v>0.96648148148148139</c:v>
                </c:pt>
                <c:pt idx="14">
                  <c:v>0.97817285689139244</c:v>
                </c:pt>
                <c:pt idx="15">
                  <c:v>0.97298210064167512</c:v>
                </c:pt>
                <c:pt idx="16">
                  <c:v>0.96984023475709158</c:v>
                </c:pt>
                <c:pt idx="17">
                  <c:v>0.96677115987460804</c:v>
                </c:pt>
                <c:pt idx="18">
                  <c:v>0.97512589653593784</c:v>
                </c:pt>
                <c:pt idx="19">
                  <c:v>0.97766932860100564</c:v>
                </c:pt>
                <c:pt idx="20">
                  <c:v>0.98110691264725491</c:v>
                </c:pt>
                <c:pt idx="21">
                  <c:v>0.97864672493017391</c:v>
                </c:pt>
                <c:pt idx="22">
                  <c:v>0.98265151515151505</c:v>
                </c:pt>
                <c:pt idx="23">
                  <c:v>0.98526343244653114</c:v>
                </c:pt>
                <c:pt idx="24">
                  <c:v>0.9843920981397225</c:v>
                </c:pt>
                <c:pt idx="25">
                  <c:v>0.98283963227783455</c:v>
                </c:pt>
                <c:pt idx="26">
                  <c:v>0.98667160310995916</c:v>
                </c:pt>
                <c:pt idx="27">
                  <c:v>0.98848004050974758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91-E043-AC97-4D581D918294}"/>
            </c:ext>
          </c:extLst>
        </c:ser>
        <c:ser>
          <c:idx val="2"/>
          <c:order val="2"/>
          <c:tx>
            <c:strRef>
              <c:f>'guadalupe16-8legs'!$Q$1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'guadalupe16-8legs'!$Q$2:$Q$29</c:f>
              <c:numCache>
                <c:formatCode>0%</c:formatCode>
                <c:ptCount val="28"/>
                <c:pt idx="0">
                  <c:v>1.0977564102564104</c:v>
                </c:pt>
                <c:pt idx="1">
                  <c:v>1.2230552952202436</c:v>
                </c:pt>
                <c:pt idx="2">
                  <c:v>1.1166558651976668</c:v>
                </c:pt>
                <c:pt idx="3">
                  <c:v>1.0267157991708891</c:v>
                </c:pt>
                <c:pt idx="4">
                  <c:v>0.9866054343666284</c:v>
                </c:pt>
                <c:pt idx="5">
                  <c:v>0.96657929226736572</c:v>
                </c:pt>
                <c:pt idx="6">
                  <c:v>0.96058091286307068</c:v>
                </c:pt>
                <c:pt idx="7">
                  <c:v>0.94662108861425187</c:v>
                </c:pt>
                <c:pt idx="8">
                  <c:v>0.95079950799507995</c:v>
                </c:pt>
                <c:pt idx="9">
                  <c:v>0.93268579173255028</c:v>
                </c:pt>
                <c:pt idx="10">
                  <c:v>0.92386436340371081</c:v>
                </c:pt>
                <c:pt idx="11">
                  <c:v>0.92061876653775698</c:v>
                </c:pt>
                <c:pt idx="12">
                  <c:v>0.92145073700543056</c:v>
                </c:pt>
                <c:pt idx="13">
                  <c:v>0.9118518518518518</c:v>
                </c:pt>
                <c:pt idx="14">
                  <c:v>0.91269142756556942</c:v>
                </c:pt>
                <c:pt idx="15">
                  <c:v>0.90408645727794656</c:v>
                </c:pt>
                <c:pt idx="16">
                  <c:v>0.89941310727094892</c:v>
                </c:pt>
                <c:pt idx="17">
                  <c:v>0.89482758620689651</c:v>
                </c:pt>
                <c:pt idx="18">
                  <c:v>0.89729894704715407</c:v>
                </c:pt>
                <c:pt idx="19">
                  <c:v>0.89352262644188107</c:v>
                </c:pt>
                <c:pt idx="20">
                  <c:v>0.86674816625916873</c:v>
                </c:pt>
                <c:pt idx="21">
                  <c:v>0.85602306514100368</c:v>
                </c:pt>
                <c:pt idx="22">
                  <c:v>0.84484848484848485</c:v>
                </c:pt>
                <c:pt idx="23">
                  <c:v>0.83946270213875862</c:v>
                </c:pt>
                <c:pt idx="24">
                  <c:v>0.83349651557910509</c:v>
                </c:pt>
                <c:pt idx="25">
                  <c:v>0.82691521961184877</c:v>
                </c:pt>
                <c:pt idx="26">
                  <c:v>0.82349129951869671</c:v>
                </c:pt>
                <c:pt idx="27">
                  <c:v>0.81871887923031472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91-E043-AC97-4D581D918294}"/>
            </c:ext>
          </c:extLst>
        </c:ser>
        <c:ser>
          <c:idx val="3"/>
          <c:order val="3"/>
          <c:tx>
            <c:strRef>
              <c:f>'guadalupe16-8legs'!$R$1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'guadalupe16-8legs'!$R$2:$R$29</c:f>
              <c:numCache>
                <c:formatCode>0%</c:formatCode>
                <c:ptCount val="28"/>
                <c:pt idx="0">
                  <c:v>0.54006410256410264</c:v>
                </c:pt>
                <c:pt idx="1">
                  <c:v>0.68791002811621371</c:v>
                </c:pt>
                <c:pt idx="2">
                  <c:v>0.77900194426441993</c:v>
                </c:pt>
                <c:pt idx="3">
                  <c:v>0.79087977890373096</c:v>
                </c:pt>
                <c:pt idx="4">
                  <c:v>0.82089552238805963</c:v>
                </c:pt>
                <c:pt idx="5">
                  <c:v>0.85124508519003939</c:v>
                </c:pt>
                <c:pt idx="6">
                  <c:v>0.87018375815056326</c:v>
                </c:pt>
                <c:pt idx="7">
                  <c:v>0.85721798580068365</c:v>
                </c:pt>
                <c:pt idx="8">
                  <c:v>0.85904059040590408</c:v>
                </c:pt>
                <c:pt idx="9">
                  <c:v>0.86717867630449508</c:v>
                </c:pt>
                <c:pt idx="10">
                  <c:v>0.87182768180848802</c:v>
                </c:pt>
                <c:pt idx="11">
                  <c:v>0.88337064929778142</c:v>
                </c:pt>
                <c:pt idx="12">
                  <c:v>0.88809154383242817</c:v>
                </c:pt>
                <c:pt idx="13">
                  <c:v>0.8792592592592593</c:v>
                </c:pt>
                <c:pt idx="14">
                  <c:v>0.88188699172680862</c:v>
                </c:pt>
                <c:pt idx="15">
                  <c:v>0.87605538669368443</c:v>
                </c:pt>
                <c:pt idx="16">
                  <c:v>0.87088359960873829</c:v>
                </c:pt>
                <c:pt idx="17">
                  <c:v>0.86551724137931041</c:v>
                </c:pt>
                <c:pt idx="18">
                  <c:v>0.87318785289180545</c:v>
                </c:pt>
                <c:pt idx="19">
                  <c:v>0.86202307009760415</c:v>
                </c:pt>
                <c:pt idx="20">
                  <c:v>0.84985552344965554</c:v>
                </c:pt>
                <c:pt idx="21">
                  <c:v>0.8380935219389134</c:v>
                </c:pt>
                <c:pt idx="22">
                  <c:v>0.83030303030303032</c:v>
                </c:pt>
                <c:pt idx="23">
                  <c:v>0.82707355242566516</c:v>
                </c:pt>
                <c:pt idx="24">
                  <c:v>0.82370558083280543</c:v>
                </c:pt>
                <c:pt idx="25">
                  <c:v>0.81777323799795709</c:v>
                </c:pt>
                <c:pt idx="26">
                  <c:v>0.81650314698259896</c:v>
                </c:pt>
                <c:pt idx="27">
                  <c:v>0.81344417250400869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91-E043-AC97-4D581D918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342900</xdr:colOff>
      <xdr:row>1</xdr:row>
      <xdr:rowOff>12700</xdr:rowOff>
    </xdr:from>
    <xdr:to>
      <xdr:col>11</xdr:col>
      <xdr:colOff>330200</xdr:colOff>
      <xdr:row>29</xdr:row>
      <xdr:rowOff>107950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591B87-4DFA-D7AF-9432-244B1870F8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584200</xdr:colOff>
      <xdr:row>13</xdr:row>
      <xdr:rowOff>12700</xdr:rowOff>
    </xdr:from>
    <xdr:to>
      <xdr:col>25</xdr:col>
      <xdr:colOff>571500</xdr:colOff>
      <xdr:row>41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037AE4-E1B9-5D48-8015-86E5FFDCF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431800</xdr:colOff>
      <xdr:row>7</xdr:row>
      <xdr:rowOff>127000</xdr:rowOff>
    </xdr:from>
    <xdr:to>
      <xdr:col>25</xdr:col>
      <xdr:colOff>419100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418264-29CF-184E-B8F4-0121697A0B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609600</xdr:colOff>
      <xdr:row>23</xdr:row>
      <xdr:rowOff>0</xdr:rowOff>
    </xdr:from>
    <xdr:to>
      <xdr:col>27</xdr:col>
      <xdr:colOff>596900</xdr:colOff>
      <xdr:row>51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E9C460-6B38-D647-994F-56735FBA5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</xdr:colOff>
      <xdr:row>10</xdr:row>
      <xdr:rowOff>152400</xdr:rowOff>
    </xdr:from>
    <xdr:to>
      <xdr:col>22</xdr:col>
      <xdr:colOff>25400</xdr:colOff>
      <xdr:row>39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6FEF4B-C8B6-D94D-8226-38619F8EAA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723900</xdr:colOff>
      <xdr:row>7</xdr:row>
      <xdr:rowOff>139700</xdr:rowOff>
    </xdr:from>
    <xdr:to>
      <xdr:col>18</xdr:col>
      <xdr:colOff>711200</xdr:colOff>
      <xdr:row>36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40BB76-E7E4-154A-B258-90473A9C47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152400</xdr:rowOff>
    </xdr:from>
    <xdr:to>
      <xdr:col>15</xdr:col>
      <xdr:colOff>812800</xdr:colOff>
      <xdr:row>31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EA5150-950B-6F43-B22F-6CE5F91D9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CF18-5131-0846-91EB-6262D6E37819}">
  <dimension ref="A1:R55"/>
  <sheetViews>
    <sheetView workbookViewId="0">
      <selection activeCell="M10" sqref="M10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 s="2">
        <v>16.899999999999999</v>
      </c>
      <c r="C2" s="2">
        <v>5.5</v>
      </c>
      <c r="D2" s="2">
        <v>10.4</v>
      </c>
      <c r="E2" s="2">
        <v>4.5</v>
      </c>
      <c r="F2" s="2">
        <v>15.9</v>
      </c>
      <c r="G2" s="2">
        <v>7.9</v>
      </c>
      <c r="H2" s="2">
        <v>9</v>
      </c>
      <c r="I2" s="2">
        <v>6.3</v>
      </c>
      <c r="J2" s="2">
        <v>-38.5</v>
      </c>
      <c r="K2" s="2">
        <v>-5.9</v>
      </c>
      <c r="L2" s="2">
        <v>-43.4</v>
      </c>
      <c r="M2" s="2">
        <v>-46.7</v>
      </c>
      <c r="N2" s="2">
        <v>43.6</v>
      </c>
      <c r="O2">
        <v>1</v>
      </c>
      <c r="P2" s="1">
        <f t="shared" ref="P2:P29" si="0">D2/B2</f>
        <v>0.61538461538461542</v>
      </c>
      <c r="Q2" s="1">
        <f t="shared" ref="Q2:Q29" si="1">F2/B2</f>
        <v>0.94082840236686405</v>
      </c>
      <c r="R2" s="1">
        <f t="shared" ref="R2:R29" si="2">H2/B2</f>
        <v>0.53254437869822491</v>
      </c>
    </row>
    <row r="3" spans="1:18" x14ac:dyDescent="0.2">
      <c r="A3">
        <v>4</v>
      </c>
      <c r="B3" s="2">
        <v>28.5</v>
      </c>
      <c r="C3" s="2">
        <v>8.8000000000000007</v>
      </c>
      <c r="D3" s="2">
        <v>23.6</v>
      </c>
      <c r="E3" s="2">
        <v>8.3000000000000007</v>
      </c>
      <c r="F3" s="2">
        <v>26.6</v>
      </c>
      <c r="G3" s="2">
        <v>11.5</v>
      </c>
      <c r="H3" s="2">
        <v>20</v>
      </c>
      <c r="I3" s="2">
        <v>10.1</v>
      </c>
      <c r="J3" s="2">
        <v>-17.2</v>
      </c>
      <c r="K3" s="2">
        <v>-6.7</v>
      </c>
      <c r="L3" s="2">
        <v>-24.8</v>
      </c>
      <c r="M3" s="2">
        <v>-29.8</v>
      </c>
      <c r="N3" s="2">
        <v>30.7</v>
      </c>
      <c r="O3">
        <v>1</v>
      </c>
      <c r="P3" s="1">
        <f t="shared" si="0"/>
        <v>0.82807017543859651</v>
      </c>
      <c r="Q3" s="1">
        <f t="shared" si="1"/>
        <v>0.93333333333333335</v>
      </c>
      <c r="R3" s="1">
        <f t="shared" si="2"/>
        <v>0.70175438596491224</v>
      </c>
    </row>
    <row r="4" spans="1:18" x14ac:dyDescent="0.2">
      <c r="A4">
        <v>6</v>
      </c>
      <c r="B4" s="2">
        <v>39</v>
      </c>
      <c r="C4" s="2">
        <v>12.5</v>
      </c>
      <c r="D4" s="2">
        <v>34.799999999999997</v>
      </c>
      <c r="E4" s="2">
        <v>11.8</v>
      </c>
      <c r="F4" s="2">
        <v>33.5</v>
      </c>
      <c r="G4" s="2">
        <v>15.3</v>
      </c>
      <c r="H4" s="2">
        <v>28.8</v>
      </c>
      <c r="I4" s="2">
        <v>14.3</v>
      </c>
      <c r="J4" s="2">
        <v>-10.8</v>
      </c>
      <c r="K4" s="2">
        <v>-14.1</v>
      </c>
      <c r="L4" s="2">
        <v>-14</v>
      </c>
      <c r="M4" s="2">
        <v>-26.2</v>
      </c>
      <c r="N4" s="2">
        <v>22.4</v>
      </c>
      <c r="O4">
        <v>1</v>
      </c>
      <c r="P4" s="1">
        <f t="shared" si="0"/>
        <v>0.89230769230769225</v>
      </c>
      <c r="Q4" s="1">
        <f t="shared" si="1"/>
        <v>0.85897435897435892</v>
      </c>
      <c r="R4" s="1">
        <f t="shared" si="2"/>
        <v>0.7384615384615385</v>
      </c>
    </row>
    <row r="5" spans="1:18" x14ac:dyDescent="0.2">
      <c r="A5">
        <v>8</v>
      </c>
      <c r="B5" s="2">
        <v>46.4</v>
      </c>
      <c r="C5" s="2">
        <v>17.8</v>
      </c>
      <c r="D5" s="2">
        <v>42.9</v>
      </c>
      <c r="E5" s="2">
        <v>17</v>
      </c>
      <c r="F5" s="2">
        <v>38.6</v>
      </c>
      <c r="G5" s="2">
        <v>21.3</v>
      </c>
      <c r="H5" s="2">
        <v>35.1</v>
      </c>
      <c r="I5" s="2">
        <v>19.899999999999999</v>
      </c>
      <c r="J5" s="2">
        <v>-7.5</v>
      </c>
      <c r="K5" s="2">
        <v>-16.8</v>
      </c>
      <c r="L5" s="2">
        <v>-9.1</v>
      </c>
      <c r="M5" s="2">
        <v>-24.4</v>
      </c>
      <c r="N5" s="2">
        <v>19.7</v>
      </c>
      <c r="O5">
        <v>1</v>
      </c>
      <c r="P5" s="1">
        <f t="shared" si="0"/>
        <v>0.92456896551724133</v>
      </c>
      <c r="Q5" s="1">
        <f t="shared" si="1"/>
        <v>0.83189655172413801</v>
      </c>
      <c r="R5" s="1">
        <f t="shared" si="2"/>
        <v>0.75646551724137934</v>
      </c>
    </row>
    <row r="6" spans="1:18" x14ac:dyDescent="0.2">
      <c r="A6">
        <v>10</v>
      </c>
      <c r="B6" s="2">
        <v>54.7</v>
      </c>
      <c r="C6" s="2">
        <v>23.3</v>
      </c>
      <c r="D6" s="2">
        <v>52.8</v>
      </c>
      <c r="E6" s="2">
        <v>22.5</v>
      </c>
      <c r="F6" s="2">
        <v>45.6</v>
      </c>
      <c r="G6" s="2">
        <v>27.1</v>
      </c>
      <c r="H6" s="2">
        <v>41.2</v>
      </c>
      <c r="I6" s="2">
        <v>25.8</v>
      </c>
      <c r="J6" s="2">
        <v>-3.5</v>
      </c>
      <c r="K6" s="2">
        <v>-16.600000000000001</v>
      </c>
      <c r="L6" s="2">
        <v>-9.6</v>
      </c>
      <c r="M6" s="2">
        <v>-24.7</v>
      </c>
      <c r="N6" s="2">
        <v>16.3</v>
      </c>
      <c r="O6">
        <v>1</v>
      </c>
      <c r="P6" s="1">
        <f t="shared" si="0"/>
        <v>0.96526508226691032</v>
      </c>
      <c r="Q6" s="1">
        <f t="shared" si="1"/>
        <v>0.8336380255941499</v>
      </c>
      <c r="R6" s="1">
        <f t="shared" si="2"/>
        <v>0.75319926873857401</v>
      </c>
    </row>
    <row r="7" spans="1:18" x14ac:dyDescent="0.2">
      <c r="A7">
        <v>12</v>
      </c>
      <c r="B7" s="2">
        <v>63.3</v>
      </c>
      <c r="C7" s="2">
        <v>32.299999999999997</v>
      </c>
      <c r="D7" s="2">
        <v>58.8</v>
      </c>
      <c r="E7" s="2">
        <v>32</v>
      </c>
      <c r="F7" s="2">
        <v>50.9</v>
      </c>
      <c r="G7" s="2">
        <v>40.1</v>
      </c>
      <c r="H7" s="2">
        <v>47.5</v>
      </c>
      <c r="I7" s="2">
        <v>35.700000000000003</v>
      </c>
      <c r="J7" s="2">
        <v>-7.1</v>
      </c>
      <c r="K7" s="2">
        <v>-19.600000000000001</v>
      </c>
      <c r="L7" s="2">
        <v>-6.7</v>
      </c>
      <c r="M7" s="2">
        <v>-25</v>
      </c>
      <c r="N7" s="2">
        <v>24.1</v>
      </c>
      <c r="O7">
        <v>1</v>
      </c>
      <c r="P7" s="1">
        <f t="shared" si="0"/>
        <v>0.92890995260663511</v>
      </c>
      <c r="Q7" s="1">
        <f t="shared" si="1"/>
        <v>0.80410742496050558</v>
      </c>
      <c r="R7" s="1">
        <f t="shared" si="2"/>
        <v>0.75039494470774093</v>
      </c>
    </row>
    <row r="8" spans="1:18" x14ac:dyDescent="0.2">
      <c r="A8">
        <v>14</v>
      </c>
      <c r="B8" s="2">
        <v>68.5</v>
      </c>
      <c r="C8" s="2">
        <v>27.8</v>
      </c>
      <c r="D8" s="2">
        <v>66</v>
      </c>
      <c r="E8" s="2">
        <v>27.4</v>
      </c>
      <c r="F8" s="2">
        <v>54.8</v>
      </c>
      <c r="G8" s="2">
        <v>32.799999999999997</v>
      </c>
      <c r="H8" s="2">
        <v>52.1</v>
      </c>
      <c r="I8" s="2">
        <v>31.5</v>
      </c>
      <c r="J8" s="2">
        <v>-3.6</v>
      </c>
      <c r="K8" s="2">
        <v>-20</v>
      </c>
      <c r="L8" s="2">
        <v>-4.9000000000000004</v>
      </c>
      <c r="M8" s="2">
        <v>-23.9</v>
      </c>
      <c r="N8" s="2">
        <v>18</v>
      </c>
      <c r="O8">
        <v>1</v>
      </c>
      <c r="P8" s="1">
        <f t="shared" si="0"/>
        <v>0.96350364963503654</v>
      </c>
      <c r="Q8" s="1">
        <f t="shared" si="1"/>
        <v>0.79999999999999993</v>
      </c>
      <c r="R8" s="1">
        <f t="shared" si="2"/>
        <v>0.76058394160583942</v>
      </c>
    </row>
    <row r="9" spans="1:18" x14ac:dyDescent="0.2">
      <c r="A9">
        <v>16</v>
      </c>
      <c r="B9" s="2">
        <v>75.3</v>
      </c>
      <c r="C9" s="2">
        <v>30.1</v>
      </c>
      <c r="D9" s="2">
        <v>72.3</v>
      </c>
      <c r="E9" s="2">
        <v>29.6</v>
      </c>
      <c r="F9" s="2">
        <v>59.4</v>
      </c>
      <c r="G9" s="2">
        <v>35.200000000000003</v>
      </c>
      <c r="H9" s="2">
        <v>56.3</v>
      </c>
      <c r="I9" s="2">
        <v>33.700000000000003</v>
      </c>
      <c r="J9" s="2">
        <v>-4</v>
      </c>
      <c r="K9" s="2">
        <v>-21.1</v>
      </c>
      <c r="L9" s="2">
        <v>-5.2</v>
      </c>
      <c r="M9" s="2">
        <v>-25.2</v>
      </c>
      <c r="N9" s="2">
        <v>16.899999999999999</v>
      </c>
      <c r="O9">
        <v>1</v>
      </c>
      <c r="P9" s="1">
        <f t="shared" si="0"/>
        <v>0.96015936254980083</v>
      </c>
      <c r="Q9" s="1">
        <f t="shared" si="1"/>
        <v>0.78884462151394419</v>
      </c>
      <c r="R9" s="1">
        <f t="shared" si="2"/>
        <v>0.74767596281540505</v>
      </c>
    </row>
    <row r="10" spans="1:18" x14ac:dyDescent="0.2">
      <c r="A10">
        <v>18</v>
      </c>
      <c r="B10" s="2">
        <v>80.7</v>
      </c>
      <c r="C10" s="2">
        <v>31.1</v>
      </c>
      <c r="D10" s="2">
        <v>77.2</v>
      </c>
      <c r="E10" s="2">
        <v>30.7</v>
      </c>
      <c r="F10" s="2">
        <v>63</v>
      </c>
      <c r="G10" s="2">
        <v>37</v>
      </c>
      <c r="H10" s="2">
        <v>59.6</v>
      </c>
      <c r="I10" s="2">
        <v>34.6</v>
      </c>
      <c r="J10" s="2">
        <v>-4.3</v>
      </c>
      <c r="K10" s="2">
        <v>-21.9</v>
      </c>
      <c r="L10" s="2">
        <v>-5.4</v>
      </c>
      <c r="M10" s="2">
        <v>-26.1</v>
      </c>
      <c r="N10" s="2">
        <v>19</v>
      </c>
      <c r="O10">
        <v>1</v>
      </c>
      <c r="P10" s="1">
        <f t="shared" si="0"/>
        <v>0.95662949194547708</v>
      </c>
      <c r="Q10" s="1">
        <f t="shared" si="1"/>
        <v>0.7806691449814126</v>
      </c>
      <c r="R10" s="1">
        <f t="shared" si="2"/>
        <v>0.73853779429987609</v>
      </c>
    </row>
    <row r="11" spans="1:18" x14ac:dyDescent="0.2">
      <c r="A11">
        <v>20</v>
      </c>
      <c r="B11" s="2">
        <v>86.9</v>
      </c>
      <c r="C11" s="2">
        <v>33</v>
      </c>
      <c r="D11" s="2">
        <v>82.9</v>
      </c>
      <c r="E11" s="2">
        <v>32.799999999999997</v>
      </c>
      <c r="F11" s="2">
        <v>66.2</v>
      </c>
      <c r="G11" s="2">
        <v>37.799999999999997</v>
      </c>
      <c r="H11" s="2">
        <v>64.099999999999994</v>
      </c>
      <c r="I11" s="2">
        <v>37</v>
      </c>
      <c r="J11" s="2">
        <v>-4.5999999999999996</v>
      </c>
      <c r="K11" s="2">
        <v>-23.8</v>
      </c>
      <c r="L11" s="2">
        <v>-3.2</v>
      </c>
      <c r="M11" s="2">
        <v>-26.2</v>
      </c>
      <c r="N11" s="2">
        <v>14.5</v>
      </c>
      <c r="O11">
        <v>1</v>
      </c>
      <c r="P11" s="1">
        <f t="shared" si="0"/>
        <v>0.95397008055235899</v>
      </c>
      <c r="Q11" s="1">
        <f t="shared" si="1"/>
        <v>0.76179516685845794</v>
      </c>
      <c r="R11" s="1">
        <f t="shared" si="2"/>
        <v>0.73762945914844635</v>
      </c>
    </row>
    <row r="12" spans="1:18" x14ac:dyDescent="0.2">
      <c r="A12">
        <v>22</v>
      </c>
      <c r="B12" s="2">
        <v>93.9</v>
      </c>
      <c r="C12" s="2">
        <v>34.200000000000003</v>
      </c>
      <c r="D12" s="2">
        <v>90.3</v>
      </c>
      <c r="E12" s="2">
        <v>34</v>
      </c>
      <c r="F12" s="2">
        <v>70.5</v>
      </c>
      <c r="G12" s="2">
        <v>38.700000000000003</v>
      </c>
      <c r="H12" s="2">
        <v>67.7</v>
      </c>
      <c r="I12" s="2">
        <v>37.9</v>
      </c>
      <c r="J12" s="2">
        <v>-3.8</v>
      </c>
      <c r="K12" s="2">
        <v>-24.9</v>
      </c>
      <c r="L12" s="2">
        <v>-4</v>
      </c>
      <c r="M12" s="2">
        <v>-27.9</v>
      </c>
      <c r="N12" s="2">
        <v>13.2</v>
      </c>
      <c r="O12">
        <v>1</v>
      </c>
      <c r="P12" s="1">
        <f t="shared" si="0"/>
        <v>0.96166134185303509</v>
      </c>
      <c r="Q12" s="1">
        <f t="shared" si="1"/>
        <v>0.75079872204472842</v>
      </c>
      <c r="R12" s="1">
        <f t="shared" si="2"/>
        <v>0.72097976570820022</v>
      </c>
    </row>
    <row r="13" spans="1:18" x14ac:dyDescent="0.2">
      <c r="A13">
        <v>24</v>
      </c>
      <c r="B13" s="2">
        <v>99.2</v>
      </c>
      <c r="C13" s="2">
        <v>35.9</v>
      </c>
      <c r="D13" s="2">
        <v>96.6</v>
      </c>
      <c r="E13" s="2">
        <v>35.1</v>
      </c>
      <c r="F13" s="2">
        <v>74.7</v>
      </c>
      <c r="G13" s="2">
        <v>40.5</v>
      </c>
      <c r="H13" s="2">
        <v>71.599999999999994</v>
      </c>
      <c r="I13" s="2">
        <v>39.700000000000003</v>
      </c>
      <c r="J13" s="2">
        <v>-2.6</v>
      </c>
      <c r="K13" s="2">
        <v>-24.7</v>
      </c>
      <c r="L13" s="2">
        <v>-4.0999999999999996</v>
      </c>
      <c r="M13" s="2">
        <v>-27.8</v>
      </c>
      <c r="N13" s="2">
        <v>12.8</v>
      </c>
      <c r="O13">
        <v>1</v>
      </c>
      <c r="P13" s="1">
        <f t="shared" si="0"/>
        <v>0.97379032258064513</v>
      </c>
      <c r="Q13" s="1">
        <f t="shared" si="1"/>
        <v>0.75302419354838712</v>
      </c>
      <c r="R13" s="1">
        <f t="shared" si="2"/>
        <v>0.72177419354838701</v>
      </c>
    </row>
    <row r="14" spans="1:18" x14ac:dyDescent="0.2">
      <c r="A14">
        <v>26</v>
      </c>
      <c r="B14" s="2">
        <v>105</v>
      </c>
      <c r="C14" s="2">
        <v>37.700000000000003</v>
      </c>
      <c r="D14" s="2">
        <v>100.7</v>
      </c>
      <c r="E14" s="2">
        <v>37.1</v>
      </c>
      <c r="F14" s="2">
        <v>76.8</v>
      </c>
      <c r="G14" s="2">
        <v>42.6</v>
      </c>
      <c r="H14" s="2">
        <v>75</v>
      </c>
      <c r="I14" s="2">
        <v>41.1</v>
      </c>
      <c r="J14" s="2">
        <v>-4.0999999999999996</v>
      </c>
      <c r="K14" s="2">
        <v>-26.9</v>
      </c>
      <c r="L14" s="2">
        <v>-2.2999999999999998</v>
      </c>
      <c r="M14" s="2">
        <v>-28.6</v>
      </c>
      <c r="N14" s="2">
        <v>13</v>
      </c>
      <c r="O14">
        <v>1</v>
      </c>
      <c r="P14" s="1">
        <f t="shared" si="0"/>
        <v>0.95904761904761904</v>
      </c>
      <c r="Q14" s="1">
        <f t="shared" si="1"/>
        <v>0.73142857142857143</v>
      </c>
      <c r="R14" s="1">
        <f t="shared" si="2"/>
        <v>0.7142857142857143</v>
      </c>
    </row>
    <row r="15" spans="1:18" x14ac:dyDescent="0.2">
      <c r="A15">
        <v>28</v>
      </c>
      <c r="B15" s="2">
        <v>108.7</v>
      </c>
      <c r="C15" s="2">
        <v>39.799999999999997</v>
      </c>
      <c r="D15" s="2">
        <v>104.7</v>
      </c>
      <c r="E15" s="2">
        <v>39</v>
      </c>
      <c r="F15" s="2">
        <v>79.2</v>
      </c>
      <c r="G15" s="2">
        <v>44</v>
      </c>
      <c r="H15" s="2">
        <v>78.2</v>
      </c>
      <c r="I15" s="2">
        <v>43</v>
      </c>
      <c r="J15" s="2">
        <v>-3.7</v>
      </c>
      <c r="K15" s="2">
        <v>-27.1</v>
      </c>
      <c r="L15" s="2">
        <v>-1.3</v>
      </c>
      <c r="M15" s="2">
        <v>-28.1</v>
      </c>
      <c r="N15" s="2">
        <v>10.6</v>
      </c>
      <c r="O15">
        <v>1</v>
      </c>
      <c r="P15" s="1">
        <f t="shared" si="0"/>
        <v>0.96320147194112238</v>
      </c>
      <c r="Q15" s="1">
        <f t="shared" si="1"/>
        <v>0.72861085556577743</v>
      </c>
      <c r="R15" s="1">
        <f t="shared" si="2"/>
        <v>0.71941122355105791</v>
      </c>
    </row>
    <row r="16" spans="1:18" x14ac:dyDescent="0.2">
      <c r="A16">
        <v>30</v>
      </c>
      <c r="B16" s="2">
        <v>114.2</v>
      </c>
      <c r="C16" s="2">
        <v>42.6</v>
      </c>
      <c r="D16" s="2">
        <v>111.6</v>
      </c>
      <c r="E16" s="2">
        <v>41.5</v>
      </c>
      <c r="F16" s="2">
        <v>82.8</v>
      </c>
      <c r="G16" s="2">
        <v>47.2</v>
      </c>
      <c r="H16" s="2">
        <v>81.5</v>
      </c>
      <c r="I16" s="2">
        <v>46.8</v>
      </c>
      <c r="J16" s="2">
        <v>-2.2999999999999998</v>
      </c>
      <c r="K16" s="2">
        <v>-27.5</v>
      </c>
      <c r="L16" s="2">
        <v>-1.6</v>
      </c>
      <c r="M16" s="2">
        <v>-28.6</v>
      </c>
      <c r="N16" s="2">
        <v>10.8</v>
      </c>
      <c r="O16">
        <v>1</v>
      </c>
      <c r="P16" s="1">
        <f t="shared" si="0"/>
        <v>0.97723292469352008</v>
      </c>
      <c r="Q16" s="1">
        <f t="shared" si="1"/>
        <v>0.72504378283712778</v>
      </c>
      <c r="R16" s="1">
        <f t="shared" si="2"/>
        <v>0.71366024518388793</v>
      </c>
    </row>
    <row r="17" spans="1:18" x14ac:dyDescent="0.2">
      <c r="A17">
        <v>32</v>
      </c>
      <c r="B17" s="2">
        <v>121</v>
      </c>
      <c r="C17" s="2">
        <v>46.8</v>
      </c>
      <c r="D17" s="2">
        <v>115.4</v>
      </c>
      <c r="E17" s="2">
        <v>45.7</v>
      </c>
      <c r="F17" s="2">
        <v>86.2</v>
      </c>
      <c r="G17" s="2">
        <v>51.3</v>
      </c>
      <c r="H17" s="2">
        <v>83.8</v>
      </c>
      <c r="I17" s="2">
        <v>50.7</v>
      </c>
      <c r="J17" s="2">
        <v>-4.5999999999999996</v>
      </c>
      <c r="K17" s="2">
        <v>-28.8</v>
      </c>
      <c r="L17" s="2">
        <v>-2.8</v>
      </c>
      <c r="M17" s="2">
        <v>-30.7</v>
      </c>
      <c r="N17" s="2">
        <v>9.6</v>
      </c>
      <c r="O17">
        <v>1</v>
      </c>
      <c r="P17" s="1">
        <f t="shared" si="0"/>
        <v>0.95371900826446288</v>
      </c>
      <c r="Q17" s="1">
        <f t="shared" si="1"/>
        <v>0.71239669421487606</v>
      </c>
      <c r="R17" s="1">
        <f t="shared" si="2"/>
        <v>0.69256198347107434</v>
      </c>
    </row>
    <row r="18" spans="1:18" x14ac:dyDescent="0.2">
      <c r="A18">
        <v>34</v>
      </c>
      <c r="B18" s="2">
        <v>124.6</v>
      </c>
      <c r="C18" s="2">
        <v>49.2</v>
      </c>
      <c r="D18" s="2">
        <v>121</v>
      </c>
      <c r="E18" s="2">
        <v>48.6</v>
      </c>
      <c r="F18" s="2">
        <v>88.7</v>
      </c>
      <c r="G18" s="2">
        <v>54.2</v>
      </c>
      <c r="H18" s="2">
        <v>85.6</v>
      </c>
      <c r="I18" s="2">
        <v>52.5</v>
      </c>
      <c r="J18" s="2">
        <v>-2.9</v>
      </c>
      <c r="K18" s="2">
        <v>-28.8</v>
      </c>
      <c r="L18" s="2">
        <v>-3.5</v>
      </c>
      <c r="M18" s="2">
        <v>-31.3</v>
      </c>
      <c r="N18" s="2">
        <v>10.199999999999999</v>
      </c>
      <c r="O18">
        <v>1</v>
      </c>
      <c r="P18" s="1">
        <f t="shared" si="0"/>
        <v>0.971107544141252</v>
      </c>
      <c r="Q18" s="1">
        <f t="shared" si="1"/>
        <v>0.71187800963081871</v>
      </c>
      <c r="R18" s="1">
        <f t="shared" si="2"/>
        <v>0.6869983948635634</v>
      </c>
    </row>
    <row r="19" spans="1:18" x14ac:dyDescent="0.2">
      <c r="A19">
        <v>36</v>
      </c>
      <c r="B19" s="2">
        <v>128.69999999999999</v>
      </c>
      <c r="C19" s="2">
        <v>53</v>
      </c>
      <c r="D19" s="2">
        <v>125.2</v>
      </c>
      <c r="E19" s="2">
        <v>52.1</v>
      </c>
      <c r="F19" s="2">
        <v>91.4</v>
      </c>
      <c r="G19" s="2">
        <v>58.5</v>
      </c>
      <c r="H19" s="2">
        <v>89.5</v>
      </c>
      <c r="I19" s="2">
        <v>56.9</v>
      </c>
      <c r="J19" s="2">
        <v>-2.7</v>
      </c>
      <c r="K19" s="2">
        <v>-29</v>
      </c>
      <c r="L19" s="2">
        <v>-2.1</v>
      </c>
      <c r="M19" s="2">
        <v>-30.5</v>
      </c>
      <c r="N19" s="2">
        <v>10.4</v>
      </c>
      <c r="O19">
        <v>1</v>
      </c>
      <c r="P19" s="1">
        <f t="shared" si="0"/>
        <v>0.97280497280497291</v>
      </c>
      <c r="Q19" s="1">
        <f t="shared" si="1"/>
        <v>0.71017871017871026</v>
      </c>
      <c r="R19" s="1">
        <f t="shared" si="2"/>
        <v>0.69541569541569548</v>
      </c>
    </row>
    <row r="20" spans="1:18" x14ac:dyDescent="0.2">
      <c r="A20">
        <v>38</v>
      </c>
      <c r="B20" s="2">
        <v>135.30000000000001</v>
      </c>
      <c r="C20" s="2">
        <v>55</v>
      </c>
      <c r="D20" s="2">
        <v>132.6</v>
      </c>
      <c r="E20" s="2">
        <v>54.6</v>
      </c>
      <c r="F20" s="2">
        <v>94.1</v>
      </c>
      <c r="G20" s="2">
        <v>59.8</v>
      </c>
      <c r="H20" s="2">
        <v>93</v>
      </c>
      <c r="I20" s="2">
        <v>59.7</v>
      </c>
      <c r="J20" s="2">
        <v>-2</v>
      </c>
      <c r="K20" s="2">
        <v>-30.5</v>
      </c>
      <c r="L20" s="2">
        <v>-1.2</v>
      </c>
      <c r="M20" s="2">
        <v>-31.3</v>
      </c>
      <c r="N20" s="2">
        <v>8.6999999999999993</v>
      </c>
      <c r="O20">
        <v>1</v>
      </c>
      <c r="P20" s="1">
        <f t="shared" si="0"/>
        <v>0.98004434589800427</v>
      </c>
      <c r="Q20" s="1">
        <f t="shared" si="1"/>
        <v>0.6954915003695491</v>
      </c>
      <c r="R20" s="1">
        <f t="shared" si="2"/>
        <v>0.68736141906873605</v>
      </c>
    </row>
    <row r="21" spans="1:18" x14ac:dyDescent="0.2">
      <c r="A21">
        <v>40</v>
      </c>
      <c r="B21" s="2">
        <v>138.4</v>
      </c>
      <c r="C21" s="2">
        <v>57.1</v>
      </c>
      <c r="D21" s="2">
        <v>135.4</v>
      </c>
      <c r="E21" s="2">
        <v>56.1</v>
      </c>
      <c r="F21" s="2">
        <v>96.8</v>
      </c>
      <c r="G21" s="2">
        <v>62.1</v>
      </c>
      <c r="H21" s="2">
        <v>94.6</v>
      </c>
      <c r="I21" s="2">
        <v>61.1</v>
      </c>
      <c r="J21" s="2">
        <v>-2.2000000000000002</v>
      </c>
      <c r="K21" s="2">
        <v>-30.1</v>
      </c>
      <c r="L21" s="2">
        <v>-2.2999999999999998</v>
      </c>
      <c r="M21" s="2">
        <v>-31.6</v>
      </c>
      <c r="N21" s="2">
        <v>8.8000000000000007</v>
      </c>
      <c r="O21">
        <v>1</v>
      </c>
      <c r="P21" s="1">
        <f t="shared" si="0"/>
        <v>0.97832369942196529</v>
      </c>
      <c r="Q21" s="1">
        <f t="shared" si="1"/>
        <v>0.699421965317919</v>
      </c>
      <c r="R21" s="1">
        <f t="shared" si="2"/>
        <v>0.68352601156069359</v>
      </c>
    </row>
    <row r="22" spans="1:18" x14ac:dyDescent="0.2">
      <c r="A22">
        <v>60</v>
      </c>
      <c r="B22" s="2">
        <v>190.3</v>
      </c>
      <c r="C22" s="2">
        <v>88.6</v>
      </c>
      <c r="D22" s="2">
        <v>182.6</v>
      </c>
      <c r="E22" s="2">
        <v>88.1</v>
      </c>
      <c r="F22" s="2">
        <v>122.9</v>
      </c>
      <c r="G22" s="2">
        <v>93.5</v>
      </c>
      <c r="H22" s="2">
        <v>121.1</v>
      </c>
      <c r="I22" s="2">
        <v>93.4</v>
      </c>
      <c r="J22" s="2">
        <v>-4</v>
      </c>
      <c r="K22" s="2">
        <v>-35.4</v>
      </c>
      <c r="L22" s="2">
        <v>-1.5</v>
      </c>
      <c r="M22" s="2">
        <v>-36.4</v>
      </c>
      <c r="N22" s="2">
        <v>5.5</v>
      </c>
      <c r="O22">
        <v>1</v>
      </c>
      <c r="P22" s="1">
        <f t="shared" si="0"/>
        <v>0.95953757225433522</v>
      </c>
      <c r="Q22" s="1">
        <f t="shared" si="1"/>
        <v>0.64582238570677875</v>
      </c>
      <c r="R22" s="1">
        <f t="shared" si="2"/>
        <v>0.63636363636363624</v>
      </c>
    </row>
    <row r="23" spans="1:18" x14ac:dyDescent="0.2">
      <c r="A23">
        <v>80</v>
      </c>
      <c r="B23" s="2">
        <v>235.1</v>
      </c>
      <c r="C23" s="2">
        <v>123.2</v>
      </c>
      <c r="D23" s="2">
        <v>230.1</v>
      </c>
      <c r="E23" s="2">
        <v>121.5</v>
      </c>
      <c r="F23" s="2">
        <v>145.6</v>
      </c>
      <c r="G23" s="2">
        <v>123.9</v>
      </c>
      <c r="H23" s="2">
        <v>143.5</v>
      </c>
      <c r="I23" s="2">
        <v>122.1</v>
      </c>
      <c r="J23" s="2">
        <v>-2.1</v>
      </c>
      <c r="K23" s="2">
        <v>-38.1</v>
      </c>
      <c r="L23" s="2">
        <v>-1.4</v>
      </c>
      <c r="M23" s="2">
        <v>-39</v>
      </c>
      <c r="N23" s="2">
        <v>0.6</v>
      </c>
      <c r="O23">
        <v>1</v>
      </c>
      <c r="P23" s="1">
        <f t="shared" si="0"/>
        <v>0.97873245427477673</v>
      </c>
      <c r="Q23" s="1">
        <f t="shared" si="1"/>
        <v>0.61931093151850281</v>
      </c>
      <c r="R23" s="1">
        <f t="shared" si="2"/>
        <v>0.61037856231390897</v>
      </c>
    </row>
    <row r="24" spans="1:18" x14ac:dyDescent="0.2">
      <c r="A24">
        <v>100</v>
      </c>
      <c r="B24" s="2">
        <v>278.10000000000002</v>
      </c>
      <c r="C24" s="2">
        <v>160.4</v>
      </c>
      <c r="D24" s="2">
        <v>274.60000000000002</v>
      </c>
      <c r="E24" s="2">
        <v>158.30000000000001</v>
      </c>
      <c r="F24" s="2">
        <v>166.7</v>
      </c>
      <c r="G24" s="2">
        <v>157.5</v>
      </c>
      <c r="H24" s="2">
        <v>165.6</v>
      </c>
      <c r="I24" s="2">
        <v>156.9</v>
      </c>
      <c r="J24" s="2">
        <v>-1.3</v>
      </c>
      <c r="K24" s="2">
        <v>-40.1</v>
      </c>
      <c r="L24" s="2">
        <v>-0.7</v>
      </c>
      <c r="M24" s="2">
        <v>-40.5</v>
      </c>
      <c r="N24" s="2">
        <v>-1.8</v>
      </c>
      <c r="O24">
        <v>1</v>
      </c>
      <c r="P24" s="1">
        <f t="shared" si="0"/>
        <v>0.98741459906508455</v>
      </c>
      <c r="Q24" s="1">
        <f t="shared" si="1"/>
        <v>0.59942466738583233</v>
      </c>
      <c r="R24" s="1">
        <f t="shared" si="2"/>
        <v>0.59546925566343034</v>
      </c>
    </row>
    <row r="25" spans="1:18" x14ac:dyDescent="0.2">
      <c r="A25">
        <v>120</v>
      </c>
      <c r="B25" s="2">
        <v>321.7</v>
      </c>
      <c r="C25" s="2">
        <v>189.5</v>
      </c>
      <c r="D25" s="2">
        <v>317.39999999999998</v>
      </c>
      <c r="E25" s="2">
        <v>185.6</v>
      </c>
      <c r="F25" s="2">
        <v>186.1</v>
      </c>
      <c r="G25" s="2">
        <v>177.1</v>
      </c>
      <c r="H25" s="2">
        <v>185.4</v>
      </c>
      <c r="I25" s="2">
        <v>177.8</v>
      </c>
      <c r="J25" s="2">
        <v>-1.3</v>
      </c>
      <c r="K25" s="2">
        <v>-42.2</v>
      </c>
      <c r="L25" s="2">
        <v>-0.4</v>
      </c>
      <c r="M25" s="2">
        <v>-42.4</v>
      </c>
      <c r="N25" s="2">
        <v>-6.5</v>
      </c>
      <c r="O25">
        <v>1</v>
      </c>
      <c r="P25" s="1">
        <f t="shared" si="0"/>
        <v>0.9866335094808828</v>
      </c>
      <c r="Q25" s="1">
        <f t="shared" si="1"/>
        <v>0.57848927572272302</v>
      </c>
      <c r="R25" s="1">
        <f t="shared" si="2"/>
        <v>0.57631333540565743</v>
      </c>
    </row>
    <row r="26" spans="1:18" x14ac:dyDescent="0.2">
      <c r="A26">
        <v>140</v>
      </c>
      <c r="B26" s="2">
        <v>361</v>
      </c>
      <c r="C26" s="2">
        <v>252.2</v>
      </c>
      <c r="D26" s="2">
        <v>356.9</v>
      </c>
      <c r="E26" s="2">
        <v>249.1</v>
      </c>
      <c r="F26" s="2">
        <v>204</v>
      </c>
      <c r="G26" s="2">
        <v>230.7</v>
      </c>
      <c r="H26" s="2">
        <v>203.6</v>
      </c>
      <c r="I26" s="2">
        <v>233</v>
      </c>
      <c r="J26" s="2">
        <v>-1.1000000000000001</v>
      </c>
      <c r="K26" s="2">
        <v>-43.5</v>
      </c>
      <c r="L26" s="2">
        <v>-0.2</v>
      </c>
      <c r="M26" s="2">
        <v>-43.6</v>
      </c>
      <c r="N26" s="2">
        <v>-8.5</v>
      </c>
      <c r="O26">
        <v>1</v>
      </c>
      <c r="P26" s="1">
        <f t="shared" si="0"/>
        <v>0.98864265927977835</v>
      </c>
      <c r="Q26" s="1">
        <f t="shared" si="1"/>
        <v>0.5650969529085873</v>
      </c>
      <c r="R26" s="1">
        <f t="shared" si="2"/>
        <v>0.56398891966759002</v>
      </c>
    </row>
    <row r="27" spans="1:18" x14ac:dyDescent="0.2">
      <c r="A27">
        <v>160</v>
      </c>
      <c r="B27" s="2">
        <v>401</v>
      </c>
      <c r="C27" s="2">
        <v>311</v>
      </c>
      <c r="D27" s="2">
        <v>394.2</v>
      </c>
      <c r="E27" s="2">
        <v>305.5</v>
      </c>
      <c r="F27" s="2">
        <v>221.2</v>
      </c>
      <c r="G27" s="2">
        <v>276.89999999999998</v>
      </c>
      <c r="H27" s="2">
        <v>221.8</v>
      </c>
      <c r="I27" s="2">
        <v>277.2</v>
      </c>
      <c r="J27" s="2">
        <v>-1.7</v>
      </c>
      <c r="K27" s="2">
        <v>-44.8</v>
      </c>
      <c r="L27" s="2">
        <v>0.3</v>
      </c>
      <c r="M27" s="2">
        <v>-44.7</v>
      </c>
      <c r="N27" s="2">
        <v>-11</v>
      </c>
      <c r="O27">
        <v>1</v>
      </c>
      <c r="P27" s="1">
        <f t="shared" si="0"/>
        <v>0.98304239401496252</v>
      </c>
      <c r="Q27" s="1">
        <f t="shared" si="1"/>
        <v>0.55162094763092262</v>
      </c>
      <c r="R27" s="1">
        <f t="shared" si="2"/>
        <v>0.55311720698254363</v>
      </c>
    </row>
    <row r="28" spans="1:18" x14ac:dyDescent="0.2">
      <c r="A28">
        <v>180</v>
      </c>
      <c r="B28" s="2">
        <v>438.5</v>
      </c>
      <c r="C28" s="2">
        <v>320.10000000000002</v>
      </c>
      <c r="D28" s="2">
        <v>432</v>
      </c>
      <c r="E28" s="2">
        <v>313.7</v>
      </c>
      <c r="F28" s="2">
        <v>237.7</v>
      </c>
      <c r="G28" s="2">
        <v>279.5</v>
      </c>
      <c r="H28" s="2">
        <v>237.3</v>
      </c>
      <c r="I28" s="2">
        <v>276.8</v>
      </c>
      <c r="J28" s="2">
        <v>-1.5</v>
      </c>
      <c r="K28" s="2">
        <v>-45.8</v>
      </c>
      <c r="L28" s="2">
        <v>-0.2</v>
      </c>
      <c r="M28" s="2">
        <v>-45.9</v>
      </c>
      <c r="N28" s="2">
        <v>-12.7</v>
      </c>
      <c r="O28">
        <v>1</v>
      </c>
      <c r="P28" s="1">
        <f t="shared" si="0"/>
        <v>0.98517673888255419</v>
      </c>
      <c r="Q28" s="1">
        <f t="shared" si="1"/>
        <v>0.5420752565564424</v>
      </c>
      <c r="R28" s="1">
        <f t="shared" si="2"/>
        <v>0.54116305587229196</v>
      </c>
    </row>
    <row r="29" spans="1:18" x14ac:dyDescent="0.2">
      <c r="A29">
        <v>200</v>
      </c>
      <c r="B29" s="2">
        <v>474.9</v>
      </c>
      <c r="C29" s="2">
        <v>360.8</v>
      </c>
      <c r="D29" s="2">
        <v>467.2</v>
      </c>
      <c r="E29" s="2">
        <v>356.6</v>
      </c>
      <c r="F29" s="2">
        <v>253.3</v>
      </c>
      <c r="G29" s="2">
        <v>310.60000000000002</v>
      </c>
      <c r="H29" s="2">
        <v>252.9</v>
      </c>
      <c r="I29" s="2">
        <v>311</v>
      </c>
      <c r="J29" s="2">
        <v>-1.6</v>
      </c>
      <c r="K29" s="2">
        <v>-46.7</v>
      </c>
      <c r="L29" s="2">
        <v>-0.2</v>
      </c>
      <c r="M29" s="2">
        <v>-46.7</v>
      </c>
      <c r="N29" s="2">
        <v>-13.9</v>
      </c>
      <c r="O29">
        <v>1</v>
      </c>
      <c r="P29" s="1">
        <f t="shared" si="0"/>
        <v>0.98378606022320492</v>
      </c>
      <c r="Q29" s="1">
        <f t="shared" si="1"/>
        <v>0.53337544746262378</v>
      </c>
      <c r="R29" s="1">
        <f t="shared" si="2"/>
        <v>0.53253316487681623</v>
      </c>
    </row>
    <row r="30" spans="1:18" x14ac:dyDescent="0.2">
      <c r="A30">
        <v>250</v>
      </c>
      <c r="B30" s="2">
        <v>561.20000000000005</v>
      </c>
      <c r="C30" s="2">
        <v>284.8</v>
      </c>
      <c r="D30" s="2">
        <v>553.6</v>
      </c>
      <c r="E30" s="2">
        <v>279.60000000000002</v>
      </c>
      <c r="F30" s="2">
        <v>290.39999999999998</v>
      </c>
      <c r="G30" s="2">
        <v>199.9</v>
      </c>
      <c r="H30" s="2">
        <v>290.3</v>
      </c>
      <c r="I30" s="2">
        <v>200.6</v>
      </c>
      <c r="J30" s="2">
        <v>-1.4</v>
      </c>
      <c r="K30" s="2">
        <v>-48.3</v>
      </c>
      <c r="L30" s="2">
        <v>0</v>
      </c>
      <c r="M30" s="2">
        <v>-48.3</v>
      </c>
      <c r="N30" s="2">
        <v>-29.8</v>
      </c>
      <c r="O30">
        <v>1</v>
      </c>
      <c r="P30" s="1">
        <f t="shared" ref="P30:P55" si="3">D30/B30</f>
        <v>0.98645759087669271</v>
      </c>
      <c r="Q30" s="1">
        <f t="shared" ref="Q30:Q55" si="4">F30/B30</f>
        <v>0.5174625801853171</v>
      </c>
      <c r="R30" s="1">
        <f t="shared" ref="R30:R55" si="5">H30/B30</f>
        <v>0.51728439059158948</v>
      </c>
    </row>
    <row r="31" spans="1:18" x14ac:dyDescent="0.2">
      <c r="A31">
        <v>300</v>
      </c>
      <c r="B31" s="2">
        <v>639.1</v>
      </c>
      <c r="C31" s="2">
        <v>387</v>
      </c>
      <c r="D31" s="2">
        <v>636</v>
      </c>
      <c r="E31" s="2">
        <v>385.1</v>
      </c>
      <c r="F31" s="2">
        <v>321.8</v>
      </c>
      <c r="G31" s="2">
        <v>259.2</v>
      </c>
      <c r="H31" s="2">
        <v>321.7</v>
      </c>
      <c r="I31" s="2">
        <v>257.8</v>
      </c>
      <c r="J31" s="2">
        <v>-0.5</v>
      </c>
      <c r="K31" s="2">
        <v>-49.6</v>
      </c>
      <c r="L31" s="2">
        <v>0</v>
      </c>
      <c r="M31" s="2">
        <v>-49.7</v>
      </c>
      <c r="N31" s="2">
        <v>-33</v>
      </c>
      <c r="O31">
        <v>1</v>
      </c>
      <c r="P31" s="1">
        <f t="shared" si="3"/>
        <v>0.99514942888436864</v>
      </c>
      <c r="Q31" s="1">
        <f t="shared" si="4"/>
        <v>0.50352057580973242</v>
      </c>
      <c r="R31" s="1">
        <f t="shared" si="5"/>
        <v>0.50336410577374424</v>
      </c>
    </row>
    <row r="32" spans="1:18" x14ac:dyDescent="0.2">
      <c r="A32">
        <v>350</v>
      </c>
      <c r="B32" s="2">
        <v>722.1</v>
      </c>
      <c r="C32" s="2">
        <v>511.9</v>
      </c>
      <c r="D32" s="2">
        <v>713.3</v>
      </c>
      <c r="E32" s="2">
        <v>504.6</v>
      </c>
      <c r="F32" s="2">
        <v>352.2</v>
      </c>
      <c r="G32" s="2">
        <v>323.3</v>
      </c>
      <c r="H32" s="2">
        <v>355.3</v>
      </c>
      <c r="I32" s="2">
        <v>326.10000000000002</v>
      </c>
      <c r="J32" s="2">
        <v>-1.2</v>
      </c>
      <c r="K32" s="2">
        <v>-51.2</v>
      </c>
      <c r="L32" s="2">
        <v>0.9</v>
      </c>
      <c r="M32" s="2">
        <v>-50.8</v>
      </c>
      <c r="N32" s="2">
        <v>-36.799999999999997</v>
      </c>
      <c r="O32">
        <v>1</v>
      </c>
      <c r="P32" s="1">
        <f t="shared" si="3"/>
        <v>0.98781332225453533</v>
      </c>
      <c r="Q32" s="1">
        <f t="shared" si="4"/>
        <v>0.48774407976734518</v>
      </c>
      <c r="R32" s="1">
        <f t="shared" si="5"/>
        <v>0.49203711397313393</v>
      </c>
    </row>
    <row r="33" spans="1:18" x14ac:dyDescent="0.2">
      <c r="A33">
        <v>400</v>
      </c>
      <c r="B33" s="2">
        <v>791.4</v>
      </c>
      <c r="C33" s="2">
        <v>722.3</v>
      </c>
      <c r="D33" s="2">
        <v>783.2</v>
      </c>
      <c r="E33" s="2">
        <v>709.2</v>
      </c>
      <c r="F33" s="2">
        <v>380.5</v>
      </c>
      <c r="G33" s="2">
        <v>433.4</v>
      </c>
      <c r="H33" s="2">
        <v>381.4</v>
      </c>
      <c r="I33" s="2">
        <v>432.8</v>
      </c>
      <c r="J33" s="2">
        <v>-1</v>
      </c>
      <c r="K33" s="2">
        <v>-51.9</v>
      </c>
      <c r="L33" s="2">
        <v>0.2</v>
      </c>
      <c r="M33" s="2">
        <v>-51.8</v>
      </c>
      <c r="N33" s="2">
        <v>-40</v>
      </c>
      <c r="O33">
        <v>1</v>
      </c>
      <c r="P33" s="1">
        <f t="shared" si="3"/>
        <v>0.98963861511245899</v>
      </c>
      <c r="Q33" s="1">
        <f t="shared" si="4"/>
        <v>0.48079353045236289</v>
      </c>
      <c r="R33" s="1">
        <f t="shared" si="5"/>
        <v>0.48193075562294668</v>
      </c>
    </row>
    <row r="34" spans="1:18" x14ac:dyDescent="0.2">
      <c r="A34">
        <v>450</v>
      </c>
      <c r="B34" s="2">
        <v>865.5</v>
      </c>
      <c r="C34" s="2">
        <v>888.8</v>
      </c>
      <c r="D34" s="2">
        <v>857.5</v>
      </c>
      <c r="E34" s="2">
        <v>878.4</v>
      </c>
      <c r="F34" s="2">
        <v>409.7</v>
      </c>
      <c r="G34" s="2">
        <v>509.8</v>
      </c>
      <c r="H34" s="2">
        <v>409.6</v>
      </c>
      <c r="I34" s="2">
        <v>510.4</v>
      </c>
      <c r="J34" s="2">
        <v>-0.9</v>
      </c>
      <c r="K34" s="2">
        <v>-52.7</v>
      </c>
      <c r="L34" s="2">
        <v>0</v>
      </c>
      <c r="M34" s="2">
        <v>-52.7</v>
      </c>
      <c r="N34" s="2">
        <v>-42.6</v>
      </c>
      <c r="O34">
        <v>1</v>
      </c>
      <c r="P34" s="1">
        <f t="shared" si="3"/>
        <v>0.99075678798382438</v>
      </c>
      <c r="Q34" s="1">
        <f t="shared" si="4"/>
        <v>0.47336799537839397</v>
      </c>
      <c r="R34" s="1">
        <f t="shared" si="5"/>
        <v>0.47325245522819182</v>
      </c>
    </row>
    <row r="35" spans="1:18" x14ac:dyDescent="0.2">
      <c r="A35">
        <v>500</v>
      </c>
      <c r="B35" s="2">
        <v>932.7</v>
      </c>
      <c r="C35" s="2">
        <v>965.6</v>
      </c>
      <c r="D35" s="2">
        <v>925.7</v>
      </c>
      <c r="E35" s="2">
        <v>955.9</v>
      </c>
      <c r="F35" s="2">
        <v>435.3</v>
      </c>
      <c r="G35" s="2">
        <v>546.20000000000005</v>
      </c>
      <c r="H35" s="2">
        <v>433.8</v>
      </c>
      <c r="I35" s="2">
        <v>541.70000000000005</v>
      </c>
      <c r="J35" s="2">
        <v>-0.8</v>
      </c>
      <c r="K35" s="2">
        <v>-53.3</v>
      </c>
      <c r="L35" s="2">
        <v>-0.3</v>
      </c>
      <c r="M35" s="2">
        <v>-53.5</v>
      </c>
      <c r="N35" s="2">
        <v>-43.4</v>
      </c>
      <c r="O35">
        <v>1</v>
      </c>
      <c r="P35" s="1">
        <f t="shared" si="3"/>
        <v>0.99249490725849687</v>
      </c>
      <c r="Q35" s="1">
        <f t="shared" si="4"/>
        <v>0.46670955291090382</v>
      </c>
      <c r="R35" s="1">
        <f t="shared" si="5"/>
        <v>0.46510131875201027</v>
      </c>
    </row>
    <row r="36" spans="1:18" x14ac:dyDescent="0.2">
      <c r="A36">
        <v>550</v>
      </c>
      <c r="B36" s="2">
        <v>997.4</v>
      </c>
      <c r="C36" s="2">
        <v>1167</v>
      </c>
      <c r="D36" s="2">
        <v>992.5</v>
      </c>
      <c r="E36" s="2">
        <v>1154.8</v>
      </c>
      <c r="F36" s="2">
        <v>458.7</v>
      </c>
      <c r="G36" s="2">
        <v>628.79999999999995</v>
      </c>
      <c r="H36" s="2">
        <v>457</v>
      </c>
      <c r="I36" s="2">
        <v>630.4</v>
      </c>
      <c r="J36" s="2">
        <v>-0.5</v>
      </c>
      <c r="K36" s="2">
        <v>-54</v>
      </c>
      <c r="L36" s="2">
        <v>-0.4</v>
      </c>
      <c r="M36" s="2">
        <v>-54.2</v>
      </c>
      <c r="N36" s="2">
        <v>-46.1</v>
      </c>
      <c r="O36">
        <v>1</v>
      </c>
      <c r="P36" s="1">
        <f t="shared" si="3"/>
        <v>0.99508722678965311</v>
      </c>
      <c r="Q36" s="1">
        <f t="shared" si="4"/>
        <v>0.45989572889512731</v>
      </c>
      <c r="R36" s="1">
        <f t="shared" si="5"/>
        <v>0.45819129737317027</v>
      </c>
    </row>
    <row r="37" spans="1:18" x14ac:dyDescent="0.2">
      <c r="A37">
        <v>600</v>
      </c>
      <c r="B37" s="2">
        <v>1053.4000000000001</v>
      </c>
      <c r="C37" s="2">
        <v>1261.4000000000001</v>
      </c>
      <c r="D37" s="2">
        <v>1047.4000000000001</v>
      </c>
      <c r="E37" s="2">
        <v>1252.0999999999999</v>
      </c>
      <c r="F37" s="2">
        <v>478.9</v>
      </c>
      <c r="G37" s="2">
        <v>668.5</v>
      </c>
      <c r="H37" s="2">
        <v>481.1</v>
      </c>
      <c r="I37" s="2">
        <v>671</v>
      </c>
      <c r="J37" s="2">
        <v>-0.6</v>
      </c>
      <c r="K37" s="2">
        <v>-54.5</v>
      </c>
      <c r="L37" s="2">
        <v>0.5</v>
      </c>
      <c r="M37" s="2">
        <v>-54.3</v>
      </c>
      <c r="N37" s="2">
        <v>-47</v>
      </c>
      <c r="O37">
        <v>1</v>
      </c>
      <c r="P37" s="1">
        <f t="shared" si="3"/>
        <v>0.99430415796468574</v>
      </c>
      <c r="Q37" s="1">
        <f t="shared" si="4"/>
        <v>0.45462312511866332</v>
      </c>
      <c r="R37" s="1">
        <f t="shared" si="5"/>
        <v>0.45671160053161192</v>
      </c>
    </row>
    <row r="38" spans="1:18" x14ac:dyDescent="0.2">
      <c r="A38">
        <v>650</v>
      </c>
      <c r="B38" s="2">
        <v>1106.3</v>
      </c>
      <c r="C38" s="2">
        <v>1437.1</v>
      </c>
      <c r="D38" s="2">
        <v>1104.3</v>
      </c>
      <c r="E38" s="2">
        <v>1429.9</v>
      </c>
      <c r="F38" s="2">
        <v>501.9</v>
      </c>
      <c r="G38" s="2">
        <v>747.7</v>
      </c>
      <c r="H38" s="2">
        <v>500.4</v>
      </c>
      <c r="I38" s="2">
        <v>741.8</v>
      </c>
      <c r="J38" s="2">
        <v>-0.2</v>
      </c>
      <c r="K38" s="2">
        <v>-54.6</v>
      </c>
      <c r="L38" s="2">
        <v>-0.3</v>
      </c>
      <c r="M38" s="2">
        <v>-54.8</v>
      </c>
      <c r="N38" s="2">
        <v>-48</v>
      </c>
      <c r="O38">
        <v>1</v>
      </c>
      <c r="P38" s="1">
        <f t="shared" si="3"/>
        <v>0.9981921721052156</v>
      </c>
      <c r="Q38" s="1">
        <f t="shared" si="4"/>
        <v>0.45367441019614935</v>
      </c>
      <c r="R38" s="1">
        <f t="shared" si="5"/>
        <v>0.45231853927506099</v>
      </c>
    </row>
    <row r="39" spans="1:18" x14ac:dyDescent="0.2">
      <c r="A39">
        <v>700</v>
      </c>
      <c r="B39" s="2">
        <v>1170.8</v>
      </c>
      <c r="C39" s="2">
        <v>1646.5</v>
      </c>
      <c r="D39" s="2">
        <v>1161.8</v>
      </c>
      <c r="E39" s="2">
        <v>1633.2</v>
      </c>
      <c r="F39" s="2">
        <v>524.9</v>
      </c>
      <c r="G39" s="2">
        <v>830.9</v>
      </c>
      <c r="H39" s="2">
        <v>524.70000000000005</v>
      </c>
      <c r="I39" s="2">
        <v>830.9</v>
      </c>
      <c r="J39" s="2">
        <v>-0.8</v>
      </c>
      <c r="K39" s="2">
        <v>-55.2</v>
      </c>
      <c r="L39" s="2">
        <v>0</v>
      </c>
      <c r="M39" s="2">
        <v>-55.2</v>
      </c>
      <c r="N39" s="2">
        <v>-49.5</v>
      </c>
      <c r="O39">
        <v>1</v>
      </c>
      <c r="P39" s="1">
        <f t="shared" si="3"/>
        <v>0.99231294841134265</v>
      </c>
      <c r="Q39" s="1">
        <f t="shared" si="4"/>
        <v>0.44832593098735907</v>
      </c>
      <c r="R39" s="1">
        <f t="shared" si="5"/>
        <v>0.44815510761872229</v>
      </c>
    </row>
    <row r="40" spans="1:18" x14ac:dyDescent="0.2">
      <c r="A40">
        <v>750</v>
      </c>
      <c r="B40" s="2">
        <v>1230.4000000000001</v>
      </c>
      <c r="C40" s="2">
        <v>1885.2</v>
      </c>
      <c r="D40" s="2">
        <v>1221.7</v>
      </c>
      <c r="E40" s="2">
        <v>1875.5</v>
      </c>
      <c r="F40" s="2">
        <v>545.29999999999995</v>
      </c>
      <c r="G40" s="2">
        <v>927.8</v>
      </c>
      <c r="H40" s="2">
        <v>544.5</v>
      </c>
      <c r="I40" s="2">
        <v>928.9</v>
      </c>
      <c r="J40" s="2">
        <v>-0.7</v>
      </c>
      <c r="K40" s="2">
        <v>-55.7</v>
      </c>
      <c r="L40" s="2">
        <v>-0.1</v>
      </c>
      <c r="M40" s="2">
        <v>-55.7</v>
      </c>
      <c r="N40" s="2">
        <v>-50.8</v>
      </c>
      <c r="O40">
        <v>1</v>
      </c>
      <c r="P40" s="1">
        <f t="shared" si="3"/>
        <v>0.9929291287386216</v>
      </c>
      <c r="Q40" s="1">
        <f t="shared" si="4"/>
        <v>0.44318920676202855</v>
      </c>
      <c r="R40" s="1">
        <f t="shared" si="5"/>
        <v>0.44253901170351101</v>
      </c>
    </row>
    <row r="41" spans="1:18" x14ac:dyDescent="0.2">
      <c r="A41">
        <v>800</v>
      </c>
      <c r="B41" s="2">
        <v>1278.5999999999999</v>
      </c>
      <c r="C41" s="2">
        <v>2073.1999999999998</v>
      </c>
      <c r="D41" s="2">
        <v>1268.8</v>
      </c>
      <c r="E41" s="2">
        <v>2057.5</v>
      </c>
      <c r="F41" s="2">
        <v>563.4</v>
      </c>
      <c r="G41" s="2">
        <v>1000.1</v>
      </c>
      <c r="H41" s="2">
        <v>562.6</v>
      </c>
      <c r="I41" s="2">
        <v>1001.8</v>
      </c>
      <c r="J41" s="2">
        <v>-0.8</v>
      </c>
      <c r="K41" s="2">
        <v>-55.9</v>
      </c>
      <c r="L41" s="2">
        <v>-0.1</v>
      </c>
      <c r="M41" s="2">
        <v>-56</v>
      </c>
      <c r="N41" s="2">
        <v>-51.8</v>
      </c>
      <c r="O41">
        <v>1</v>
      </c>
      <c r="P41" s="1">
        <f t="shared" si="3"/>
        <v>0.99233536680744572</v>
      </c>
      <c r="Q41" s="1">
        <f t="shared" si="4"/>
        <v>0.44063819802909432</v>
      </c>
      <c r="R41" s="1">
        <f t="shared" si="5"/>
        <v>0.44001251368684502</v>
      </c>
    </row>
    <row r="42" spans="1:18" x14ac:dyDescent="0.2">
      <c r="A42">
        <v>850</v>
      </c>
      <c r="B42" s="2">
        <v>1328.6</v>
      </c>
      <c r="C42" s="2">
        <v>2291.9</v>
      </c>
      <c r="D42" s="2">
        <v>1319</v>
      </c>
      <c r="E42" s="2">
        <v>2264.1999999999998</v>
      </c>
      <c r="F42" s="2">
        <v>583.20000000000005</v>
      </c>
      <c r="G42" s="2">
        <v>1081.8</v>
      </c>
      <c r="H42" s="2">
        <v>584</v>
      </c>
      <c r="I42" s="2">
        <v>1082.9000000000001</v>
      </c>
      <c r="J42" s="2">
        <v>-0.7</v>
      </c>
      <c r="K42" s="2">
        <v>-56.1</v>
      </c>
      <c r="L42" s="2">
        <v>0.1</v>
      </c>
      <c r="M42" s="2">
        <v>-56</v>
      </c>
      <c r="N42" s="2">
        <v>-52.8</v>
      </c>
      <c r="O42">
        <v>1</v>
      </c>
      <c r="P42" s="1">
        <f t="shared" si="3"/>
        <v>0.99277434893873262</v>
      </c>
      <c r="Q42" s="1">
        <f t="shared" si="4"/>
        <v>0.43895830197200064</v>
      </c>
      <c r="R42" s="1">
        <f t="shared" si="5"/>
        <v>0.43956043956043961</v>
      </c>
    </row>
    <row r="43" spans="1:18" x14ac:dyDescent="0.2">
      <c r="A43">
        <v>900</v>
      </c>
      <c r="B43" s="2">
        <v>1382</v>
      </c>
      <c r="C43" s="2">
        <v>2515.6999999999998</v>
      </c>
      <c r="D43" s="2">
        <v>1372.2</v>
      </c>
      <c r="E43" s="2">
        <v>2495.6999999999998</v>
      </c>
      <c r="F43" s="2">
        <v>599.9</v>
      </c>
      <c r="G43" s="2">
        <v>1158</v>
      </c>
      <c r="H43" s="2">
        <v>601.6</v>
      </c>
      <c r="I43" s="2">
        <v>1165.4000000000001</v>
      </c>
      <c r="J43" s="2">
        <v>-0.7</v>
      </c>
      <c r="K43" s="2">
        <v>-56.6</v>
      </c>
      <c r="L43" s="2">
        <v>0.3</v>
      </c>
      <c r="M43" s="2">
        <v>-56.5</v>
      </c>
      <c r="N43" s="2">
        <v>-54</v>
      </c>
      <c r="O43">
        <v>1</v>
      </c>
      <c r="P43" s="1">
        <f t="shared" si="3"/>
        <v>0.99290882778581768</v>
      </c>
      <c r="Q43" s="1">
        <f t="shared" si="4"/>
        <v>0.43408104196816205</v>
      </c>
      <c r="R43" s="1">
        <f t="shared" si="5"/>
        <v>0.43531114327062231</v>
      </c>
    </row>
    <row r="44" spans="1:18" x14ac:dyDescent="0.2">
      <c r="A44">
        <v>950</v>
      </c>
      <c r="B44" s="2">
        <v>1433</v>
      </c>
      <c r="C44" s="2">
        <v>2741.1</v>
      </c>
      <c r="D44" s="2">
        <v>1419.1</v>
      </c>
      <c r="E44" s="2">
        <v>2715.7</v>
      </c>
      <c r="F44" s="2">
        <v>617.6</v>
      </c>
      <c r="G44" s="2">
        <v>1238.5</v>
      </c>
      <c r="H44" s="2">
        <v>616.9</v>
      </c>
      <c r="I44" s="2">
        <v>1235.2</v>
      </c>
      <c r="J44" s="2">
        <v>-1</v>
      </c>
      <c r="K44" s="2">
        <v>-56.9</v>
      </c>
      <c r="L44" s="2">
        <v>-0.1</v>
      </c>
      <c r="M44" s="2">
        <v>-57</v>
      </c>
      <c r="N44" s="2">
        <v>-54.8</v>
      </c>
      <c r="O44">
        <v>1</v>
      </c>
      <c r="P44" s="1">
        <f t="shared" si="3"/>
        <v>0.99030006978367058</v>
      </c>
      <c r="Q44" s="1">
        <f t="shared" si="4"/>
        <v>0.43098394975575716</v>
      </c>
      <c r="R44" s="1">
        <f t="shared" si="5"/>
        <v>0.43049546406140959</v>
      </c>
    </row>
    <row r="45" spans="1:18" x14ac:dyDescent="0.2">
      <c r="P45" s="1"/>
      <c r="Q45" s="1"/>
      <c r="R45" s="1"/>
    </row>
    <row r="46" spans="1:18" x14ac:dyDescent="0.2">
      <c r="P46" s="1"/>
      <c r="Q46" s="1"/>
      <c r="R46" s="1"/>
    </row>
    <row r="47" spans="1:18" x14ac:dyDescent="0.2">
      <c r="P47" s="1"/>
      <c r="Q47" s="1"/>
      <c r="R47" s="1"/>
    </row>
    <row r="48" spans="1:18" x14ac:dyDescent="0.2">
      <c r="P48" s="1"/>
      <c r="Q48" s="1"/>
      <c r="R48" s="1"/>
    </row>
    <row r="49" spans="16:18" x14ac:dyDescent="0.2">
      <c r="P49" s="1"/>
      <c r="Q49" s="1"/>
      <c r="R49" s="1"/>
    </row>
    <row r="50" spans="16:18" x14ac:dyDescent="0.2">
      <c r="P50" s="1"/>
      <c r="Q50" s="1"/>
      <c r="R50" s="1"/>
    </row>
    <row r="51" spans="16:18" x14ac:dyDescent="0.2">
      <c r="P51" s="1"/>
      <c r="Q51" s="1"/>
      <c r="R51" s="1"/>
    </row>
    <row r="52" spans="16:18" x14ac:dyDescent="0.2">
      <c r="P52" s="1"/>
      <c r="Q52" s="1"/>
      <c r="R52" s="1"/>
    </row>
    <row r="53" spans="16:18" x14ac:dyDescent="0.2">
      <c r="P53" s="1"/>
      <c r="Q53" s="1"/>
      <c r="R53" s="1"/>
    </row>
    <row r="54" spans="16:18" x14ac:dyDescent="0.2">
      <c r="P54" s="1"/>
      <c r="Q54" s="1"/>
      <c r="R54" s="1"/>
    </row>
    <row r="55" spans="16:18" x14ac:dyDescent="0.2">
      <c r="P55" s="1"/>
      <c r="Q55" s="1"/>
      <c r="R55" s="1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14EA2-C2BC-8F46-9AC9-3F9525E5AB66}">
  <dimension ref="A1:N17"/>
  <sheetViews>
    <sheetView workbookViewId="0">
      <selection activeCell="A3" sqref="A3:N17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</row>
    <row r="2" spans="1:14" x14ac:dyDescent="0.2">
      <c r="A2">
        <v>200</v>
      </c>
      <c r="B2" s="2">
        <v>474.6</v>
      </c>
      <c r="C2" s="2">
        <v>194.2</v>
      </c>
      <c r="D2" s="2">
        <v>468.7</v>
      </c>
      <c r="E2" s="2">
        <v>192.8</v>
      </c>
      <c r="F2" s="2">
        <v>254.3</v>
      </c>
      <c r="G2" s="2">
        <v>146.19999999999999</v>
      </c>
      <c r="H2" s="2">
        <v>253.8</v>
      </c>
      <c r="I2" s="2">
        <v>146.19999999999999</v>
      </c>
      <c r="J2" s="2">
        <v>-1.2</v>
      </c>
      <c r="K2" s="2">
        <v>-46.4</v>
      </c>
      <c r="L2" s="2">
        <v>-0.2</v>
      </c>
      <c r="M2" s="2">
        <v>-46.5</v>
      </c>
      <c r="N2" s="2">
        <v>-24.7</v>
      </c>
    </row>
    <row r="3" spans="1:14" x14ac:dyDescent="0.2">
      <c r="A3">
        <v>250</v>
      </c>
      <c r="B3" s="2">
        <v>561.20000000000005</v>
      </c>
      <c r="C3" s="2">
        <v>284.8</v>
      </c>
      <c r="D3" s="2">
        <v>553.6</v>
      </c>
      <c r="E3" s="2">
        <v>279.60000000000002</v>
      </c>
      <c r="F3" s="2">
        <v>290.39999999999998</v>
      </c>
      <c r="G3" s="2">
        <v>199.9</v>
      </c>
      <c r="H3" s="2">
        <v>290.3</v>
      </c>
      <c r="I3" s="2">
        <v>200.6</v>
      </c>
      <c r="J3" s="2">
        <v>-1.4</v>
      </c>
      <c r="K3" s="2">
        <v>-48.3</v>
      </c>
      <c r="L3" s="2">
        <v>0</v>
      </c>
      <c r="M3" s="2">
        <v>-48.3</v>
      </c>
      <c r="N3" s="2">
        <v>-29.8</v>
      </c>
    </row>
    <row r="4" spans="1:14" x14ac:dyDescent="0.2">
      <c r="A4">
        <v>300</v>
      </c>
      <c r="B4" s="2">
        <v>639.1</v>
      </c>
      <c r="C4" s="2">
        <v>387</v>
      </c>
      <c r="D4" s="2">
        <v>636</v>
      </c>
      <c r="E4" s="2">
        <v>385.1</v>
      </c>
      <c r="F4" s="2">
        <v>321.8</v>
      </c>
      <c r="G4" s="2">
        <v>259.2</v>
      </c>
      <c r="H4" s="2">
        <v>321.7</v>
      </c>
      <c r="I4" s="2">
        <v>257.8</v>
      </c>
      <c r="J4" s="2">
        <v>-0.5</v>
      </c>
      <c r="K4" s="2">
        <v>-49.6</v>
      </c>
      <c r="L4" s="2">
        <v>0</v>
      </c>
      <c r="M4" s="2">
        <v>-49.7</v>
      </c>
      <c r="N4" s="2">
        <v>-33</v>
      </c>
    </row>
    <row r="5" spans="1:14" x14ac:dyDescent="0.2">
      <c r="A5">
        <v>350</v>
      </c>
      <c r="B5" s="2">
        <v>722.1</v>
      </c>
      <c r="C5" s="2">
        <v>511.9</v>
      </c>
      <c r="D5" s="2">
        <v>713.3</v>
      </c>
      <c r="E5" s="2">
        <v>504.6</v>
      </c>
      <c r="F5" s="2">
        <v>352.2</v>
      </c>
      <c r="G5" s="2">
        <v>323.3</v>
      </c>
      <c r="H5" s="2">
        <v>355.3</v>
      </c>
      <c r="I5" s="2">
        <v>326.10000000000002</v>
      </c>
      <c r="J5" s="2">
        <v>-1.2</v>
      </c>
      <c r="K5" s="2">
        <v>-51.2</v>
      </c>
      <c r="L5" s="2">
        <v>0.9</v>
      </c>
      <c r="M5" s="2">
        <v>-50.8</v>
      </c>
      <c r="N5" s="2">
        <v>-36.799999999999997</v>
      </c>
    </row>
    <row r="6" spans="1:14" x14ac:dyDescent="0.2">
      <c r="A6">
        <v>400</v>
      </c>
      <c r="B6" s="2">
        <v>791.4</v>
      </c>
      <c r="C6" s="2">
        <v>722.3</v>
      </c>
      <c r="D6" s="2">
        <v>783.2</v>
      </c>
      <c r="E6" s="2">
        <v>709.2</v>
      </c>
      <c r="F6" s="2">
        <v>380.5</v>
      </c>
      <c r="G6" s="2">
        <v>433.4</v>
      </c>
      <c r="H6" s="2">
        <v>381.4</v>
      </c>
      <c r="I6" s="2">
        <v>432.8</v>
      </c>
      <c r="J6" s="2">
        <v>-1</v>
      </c>
      <c r="K6" s="2">
        <v>-51.9</v>
      </c>
      <c r="L6" s="2">
        <v>0.2</v>
      </c>
      <c r="M6" s="2">
        <v>-51.8</v>
      </c>
      <c r="N6" s="2">
        <v>-40</v>
      </c>
    </row>
    <row r="7" spans="1:14" x14ac:dyDescent="0.2">
      <c r="A7">
        <v>450</v>
      </c>
      <c r="B7" s="2">
        <v>865.5</v>
      </c>
      <c r="C7" s="2">
        <v>888.8</v>
      </c>
      <c r="D7" s="2">
        <v>857.5</v>
      </c>
      <c r="E7" s="2">
        <v>878.4</v>
      </c>
      <c r="F7" s="2">
        <v>409.7</v>
      </c>
      <c r="G7" s="2">
        <v>509.8</v>
      </c>
      <c r="H7" s="2">
        <v>409.6</v>
      </c>
      <c r="I7" s="2">
        <v>510.4</v>
      </c>
      <c r="J7" s="2">
        <v>-0.9</v>
      </c>
      <c r="K7" s="2">
        <v>-52.7</v>
      </c>
      <c r="L7" s="2">
        <v>0</v>
      </c>
      <c r="M7" s="2">
        <v>-52.7</v>
      </c>
      <c r="N7" s="2">
        <v>-42.6</v>
      </c>
    </row>
    <row r="8" spans="1:14" x14ac:dyDescent="0.2">
      <c r="A8">
        <v>500</v>
      </c>
      <c r="B8" s="2">
        <v>932.7</v>
      </c>
      <c r="C8" s="2">
        <v>965.6</v>
      </c>
      <c r="D8" s="2">
        <v>925.7</v>
      </c>
      <c r="E8" s="2">
        <v>955.9</v>
      </c>
      <c r="F8" s="2">
        <v>435.3</v>
      </c>
      <c r="G8" s="2">
        <v>546.20000000000005</v>
      </c>
      <c r="H8" s="2">
        <v>433.8</v>
      </c>
      <c r="I8" s="2">
        <v>541.70000000000005</v>
      </c>
      <c r="J8" s="2">
        <v>-0.8</v>
      </c>
      <c r="K8" s="2">
        <v>-53.3</v>
      </c>
      <c r="L8" s="2">
        <v>-0.3</v>
      </c>
      <c r="M8" s="2">
        <v>-53.5</v>
      </c>
      <c r="N8" s="2">
        <v>-43.4</v>
      </c>
    </row>
    <row r="9" spans="1:14" x14ac:dyDescent="0.2">
      <c r="A9">
        <v>550</v>
      </c>
      <c r="B9" s="2">
        <v>997.4</v>
      </c>
      <c r="C9" s="2">
        <v>1167</v>
      </c>
      <c r="D9" s="2">
        <v>992.5</v>
      </c>
      <c r="E9" s="2">
        <v>1154.8</v>
      </c>
      <c r="F9" s="2">
        <v>458.7</v>
      </c>
      <c r="G9" s="2">
        <v>628.79999999999995</v>
      </c>
      <c r="H9" s="2">
        <v>457</v>
      </c>
      <c r="I9" s="2">
        <v>630.4</v>
      </c>
      <c r="J9" s="2">
        <v>-0.5</v>
      </c>
      <c r="K9" s="2">
        <v>-54</v>
      </c>
      <c r="L9" s="2">
        <v>-0.4</v>
      </c>
      <c r="M9" s="2">
        <v>-54.2</v>
      </c>
      <c r="N9" s="2">
        <v>-46.1</v>
      </c>
    </row>
    <row r="10" spans="1:14" x14ac:dyDescent="0.2">
      <c r="A10">
        <v>600</v>
      </c>
      <c r="B10" s="2">
        <v>1053.4000000000001</v>
      </c>
      <c r="C10" s="2">
        <v>1261.4000000000001</v>
      </c>
      <c r="D10" s="2">
        <v>1047.4000000000001</v>
      </c>
      <c r="E10" s="2">
        <v>1252.0999999999999</v>
      </c>
      <c r="F10" s="2">
        <v>478.9</v>
      </c>
      <c r="G10" s="2">
        <v>668.5</v>
      </c>
      <c r="H10" s="2">
        <v>481.1</v>
      </c>
      <c r="I10" s="2">
        <v>671</v>
      </c>
      <c r="J10" s="2">
        <v>-0.6</v>
      </c>
      <c r="K10" s="2">
        <v>-54.5</v>
      </c>
      <c r="L10" s="2">
        <v>0.5</v>
      </c>
      <c r="M10" s="2">
        <v>-54.3</v>
      </c>
      <c r="N10" s="2">
        <v>-47</v>
      </c>
    </row>
    <row r="11" spans="1:14" x14ac:dyDescent="0.2">
      <c r="A11">
        <v>650</v>
      </c>
      <c r="B11" s="2">
        <v>1106.3</v>
      </c>
      <c r="C11" s="2">
        <v>1437.1</v>
      </c>
      <c r="D11" s="2">
        <v>1104.3</v>
      </c>
      <c r="E11" s="2">
        <v>1429.9</v>
      </c>
      <c r="F11" s="2">
        <v>501.9</v>
      </c>
      <c r="G11" s="2">
        <v>747.7</v>
      </c>
      <c r="H11" s="2">
        <v>500.4</v>
      </c>
      <c r="I11" s="2">
        <v>741.8</v>
      </c>
      <c r="J11" s="2">
        <v>-0.2</v>
      </c>
      <c r="K11" s="2">
        <v>-54.6</v>
      </c>
      <c r="L11" s="2">
        <v>-0.3</v>
      </c>
      <c r="M11" s="2">
        <v>-54.8</v>
      </c>
      <c r="N11" s="2">
        <v>-48</v>
      </c>
    </row>
    <row r="12" spans="1:14" x14ac:dyDescent="0.2">
      <c r="A12">
        <v>700</v>
      </c>
      <c r="B12" s="2">
        <v>1170.8</v>
      </c>
      <c r="C12" s="2">
        <v>1646.5</v>
      </c>
      <c r="D12" s="2">
        <v>1161.8</v>
      </c>
      <c r="E12" s="2">
        <v>1633.2</v>
      </c>
      <c r="F12" s="2">
        <v>524.9</v>
      </c>
      <c r="G12" s="2">
        <v>830.9</v>
      </c>
      <c r="H12" s="2">
        <v>524.70000000000005</v>
      </c>
      <c r="I12" s="2">
        <v>830.9</v>
      </c>
      <c r="J12" s="2">
        <v>-0.8</v>
      </c>
      <c r="K12" s="2">
        <v>-55.2</v>
      </c>
      <c r="L12" s="2">
        <v>0</v>
      </c>
      <c r="M12" s="2">
        <v>-55.2</v>
      </c>
      <c r="N12" s="2">
        <v>-49.5</v>
      </c>
    </row>
    <row r="13" spans="1:14" x14ac:dyDescent="0.2">
      <c r="A13">
        <v>750</v>
      </c>
      <c r="B13" s="2">
        <v>1230.4000000000001</v>
      </c>
      <c r="C13" s="2">
        <v>1885.2</v>
      </c>
      <c r="D13" s="2">
        <v>1221.7</v>
      </c>
      <c r="E13" s="2">
        <v>1875.5</v>
      </c>
      <c r="F13" s="2">
        <v>545.29999999999995</v>
      </c>
      <c r="G13" s="2">
        <v>927.8</v>
      </c>
      <c r="H13" s="2">
        <v>544.5</v>
      </c>
      <c r="I13" s="2">
        <v>928.9</v>
      </c>
      <c r="J13" s="2">
        <v>-0.7</v>
      </c>
      <c r="K13" s="2">
        <v>-55.7</v>
      </c>
      <c r="L13" s="2">
        <v>-0.1</v>
      </c>
      <c r="M13" s="2">
        <v>-55.7</v>
      </c>
      <c r="N13" s="2">
        <v>-50.8</v>
      </c>
    </row>
    <row r="14" spans="1:14" x14ac:dyDescent="0.2">
      <c r="A14">
        <v>800</v>
      </c>
      <c r="B14" s="2">
        <v>1278.5999999999999</v>
      </c>
      <c r="C14" s="2">
        <v>2073.1999999999998</v>
      </c>
      <c r="D14" s="2">
        <v>1268.8</v>
      </c>
      <c r="E14" s="2">
        <v>2057.5</v>
      </c>
      <c r="F14" s="2">
        <v>563.4</v>
      </c>
      <c r="G14" s="2">
        <v>1000.1</v>
      </c>
      <c r="H14" s="2">
        <v>562.6</v>
      </c>
      <c r="I14" s="2">
        <v>1001.8</v>
      </c>
      <c r="J14" s="2">
        <v>-0.8</v>
      </c>
      <c r="K14" s="2">
        <v>-55.9</v>
      </c>
      <c r="L14" s="2">
        <v>-0.1</v>
      </c>
      <c r="M14" s="2">
        <v>-56</v>
      </c>
      <c r="N14" s="2">
        <v>-51.8</v>
      </c>
    </row>
    <row r="15" spans="1:14" x14ac:dyDescent="0.2">
      <c r="A15">
        <v>850</v>
      </c>
      <c r="B15" s="2">
        <v>1328.6</v>
      </c>
      <c r="C15" s="2">
        <v>2291.9</v>
      </c>
      <c r="D15" s="2">
        <v>1319</v>
      </c>
      <c r="E15" s="2">
        <v>2264.1999999999998</v>
      </c>
      <c r="F15" s="2">
        <v>583.20000000000005</v>
      </c>
      <c r="G15" s="2">
        <v>1081.8</v>
      </c>
      <c r="H15" s="2">
        <v>584</v>
      </c>
      <c r="I15" s="2">
        <v>1082.9000000000001</v>
      </c>
      <c r="J15" s="2">
        <v>-0.7</v>
      </c>
      <c r="K15" s="2">
        <v>-56.1</v>
      </c>
      <c r="L15" s="2">
        <v>0.1</v>
      </c>
      <c r="M15" s="2">
        <v>-56</v>
      </c>
      <c r="N15" s="2">
        <v>-52.8</v>
      </c>
    </row>
    <row r="16" spans="1:14" x14ac:dyDescent="0.2">
      <c r="A16">
        <v>900</v>
      </c>
      <c r="B16" s="2">
        <v>1382</v>
      </c>
      <c r="C16" s="2">
        <v>2515.6999999999998</v>
      </c>
      <c r="D16" s="2">
        <v>1372.2</v>
      </c>
      <c r="E16" s="2">
        <v>2495.6999999999998</v>
      </c>
      <c r="F16" s="2">
        <v>599.9</v>
      </c>
      <c r="G16" s="2">
        <v>1158</v>
      </c>
      <c r="H16" s="2">
        <v>601.6</v>
      </c>
      <c r="I16" s="2">
        <v>1165.4000000000001</v>
      </c>
      <c r="J16" s="2">
        <v>-0.7</v>
      </c>
      <c r="K16" s="2">
        <v>-56.6</v>
      </c>
      <c r="L16" s="2">
        <v>0.3</v>
      </c>
      <c r="M16" s="2">
        <v>-56.5</v>
      </c>
      <c r="N16" s="2">
        <v>-54</v>
      </c>
    </row>
    <row r="17" spans="1:14" x14ac:dyDescent="0.2">
      <c r="A17">
        <v>950</v>
      </c>
      <c r="B17" s="2">
        <v>1433</v>
      </c>
      <c r="C17" s="2">
        <v>2741.1</v>
      </c>
      <c r="D17" s="2">
        <v>1419.1</v>
      </c>
      <c r="E17" s="2">
        <v>2715.7</v>
      </c>
      <c r="F17" s="2">
        <v>617.6</v>
      </c>
      <c r="G17" s="2">
        <v>1238.5</v>
      </c>
      <c r="H17" s="2">
        <v>616.9</v>
      </c>
      <c r="I17" s="2">
        <v>1235.2</v>
      </c>
      <c r="J17" s="2">
        <v>-1</v>
      </c>
      <c r="K17" s="2">
        <v>-56.9</v>
      </c>
      <c r="L17" s="2">
        <v>-0.1</v>
      </c>
      <c r="M17" s="2">
        <v>-57</v>
      </c>
      <c r="N17" s="2">
        <v>-54.8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ADA0-3FD9-B748-A167-0AF6A36FD04E}">
  <dimension ref="B1:M45"/>
  <sheetViews>
    <sheetView tabSelected="1" workbookViewId="0">
      <selection activeCell="I1" sqref="I1"/>
    </sheetView>
  </sheetViews>
  <sheetFormatPr baseColWidth="10" defaultRowHeight="16" x14ac:dyDescent="0.2"/>
  <cols>
    <col min="2" max="2" width="16.83203125" customWidth="1"/>
    <col min="3" max="3" width="10" customWidth="1"/>
    <col min="4" max="4" width="5.83203125" customWidth="1"/>
    <col min="5" max="5" width="9.1640625" customWidth="1"/>
    <col min="6" max="6" width="8.83203125" customWidth="1"/>
    <col min="7" max="7" width="8.1640625" customWidth="1"/>
    <col min="8" max="8" width="6.1640625" bestFit="1" customWidth="1"/>
    <col min="9" max="10" width="10.83203125" customWidth="1"/>
    <col min="11" max="11" width="7.83203125" customWidth="1"/>
    <col min="12" max="12" width="8.83203125" customWidth="1"/>
  </cols>
  <sheetData>
    <row r="1" spans="2:13" x14ac:dyDescent="0.2">
      <c r="I1" s="8"/>
    </row>
    <row r="3" spans="2:13" x14ac:dyDescent="0.2">
      <c r="B3" s="4" t="s">
        <v>60</v>
      </c>
      <c r="C3" s="4" t="s">
        <v>15</v>
      </c>
      <c r="D3" s="5" t="s">
        <v>61</v>
      </c>
      <c r="E3" s="5" t="s">
        <v>68</v>
      </c>
      <c r="F3" s="5" t="s">
        <v>16</v>
      </c>
      <c r="G3" s="5" t="s">
        <v>69</v>
      </c>
      <c r="H3" s="5" t="s">
        <v>64</v>
      </c>
      <c r="I3" s="5" t="s">
        <v>71</v>
      </c>
      <c r="J3" s="5" t="s">
        <v>17</v>
      </c>
      <c r="K3" s="5" t="s">
        <v>65</v>
      </c>
      <c r="L3" s="5" t="s">
        <v>59</v>
      </c>
      <c r="M3" s="6" t="s">
        <v>70</v>
      </c>
    </row>
    <row r="4" spans="2:13" x14ac:dyDescent="0.2">
      <c r="B4" t="s">
        <v>18</v>
      </c>
      <c r="C4" t="s">
        <v>19</v>
      </c>
      <c r="D4">
        <v>14</v>
      </c>
      <c r="E4">
        <v>1488</v>
      </c>
      <c r="F4">
        <v>7641</v>
      </c>
      <c r="G4">
        <v>115.21801499999999</v>
      </c>
      <c r="H4">
        <v>12419</v>
      </c>
      <c r="I4">
        <v>273.029291</v>
      </c>
      <c r="J4">
        <v>10625</v>
      </c>
      <c r="K4" s="3">
        <f>F4/H4-1</f>
        <v>-0.38473307029551496</v>
      </c>
      <c r="L4" s="1">
        <f>J4/F4-1</f>
        <v>0.39052480041879334</v>
      </c>
      <c r="M4" s="3">
        <f>G4/I4-1</f>
        <v>-0.57800126653810202</v>
      </c>
    </row>
    <row r="5" spans="2:13" x14ac:dyDescent="0.2">
      <c r="B5" t="s">
        <v>20</v>
      </c>
      <c r="C5" t="s">
        <v>19</v>
      </c>
      <c r="D5">
        <v>14</v>
      </c>
      <c r="E5">
        <v>1488</v>
      </c>
      <c r="F5">
        <v>5000</v>
      </c>
      <c r="G5">
        <v>81.148252999999997</v>
      </c>
      <c r="H5">
        <v>12181</v>
      </c>
      <c r="I5">
        <v>284.52725500000003</v>
      </c>
      <c r="J5">
        <v>8085</v>
      </c>
      <c r="K5" s="3">
        <f>F5/H5-1</f>
        <v>-0.58952466956735905</v>
      </c>
      <c r="L5" s="1">
        <f>J5/F5-1</f>
        <v>0.61699999999999999</v>
      </c>
      <c r="M5" s="3">
        <f>G5/I5-1</f>
        <v>-0.71479620467290561</v>
      </c>
    </row>
    <row r="6" spans="2:13" x14ac:dyDescent="0.2">
      <c r="B6" t="s">
        <v>21</v>
      </c>
      <c r="C6" t="s">
        <v>19</v>
      </c>
      <c r="D6">
        <v>12</v>
      </c>
      <c r="E6">
        <v>1085</v>
      </c>
      <c r="F6">
        <v>3133</v>
      </c>
      <c r="G6">
        <v>33.076317000000003</v>
      </c>
      <c r="H6">
        <v>8482</v>
      </c>
      <c r="I6">
        <v>129.12428800000001</v>
      </c>
      <c r="J6">
        <v>3160</v>
      </c>
      <c r="K6" s="3">
        <f>F6/H6-1</f>
        <v>-0.63062956849799567</v>
      </c>
      <c r="L6" s="1">
        <f>J6/F6-1</f>
        <v>8.6179380785189608E-3</v>
      </c>
      <c r="M6" s="3">
        <f>G6/I6-1</f>
        <v>-0.74384124387195072</v>
      </c>
    </row>
    <row r="7" spans="2:13" x14ac:dyDescent="0.2">
      <c r="B7" t="s">
        <v>23</v>
      </c>
      <c r="C7" t="s">
        <v>22</v>
      </c>
      <c r="D7">
        <v>18</v>
      </c>
      <c r="E7">
        <v>2950</v>
      </c>
      <c r="F7">
        <v>21046</v>
      </c>
      <c r="G7">
        <v>461.34287899999998</v>
      </c>
      <c r="H7">
        <v>37786</v>
      </c>
      <c r="I7">
        <v>2522.6866450000002</v>
      </c>
      <c r="J7">
        <v>14622</v>
      </c>
      <c r="K7" s="3">
        <f>F7/H7-1</f>
        <v>-0.44302122479225114</v>
      </c>
      <c r="L7" s="3">
        <f>J7/F7-1</f>
        <v>-0.3052361493870569</v>
      </c>
      <c r="M7" s="3">
        <f>G7/I7-1</f>
        <v>-0.81712240007517867</v>
      </c>
    </row>
    <row r="8" spans="2:13" x14ac:dyDescent="0.2">
      <c r="B8" t="s">
        <v>24</v>
      </c>
      <c r="C8" t="s">
        <v>19</v>
      </c>
      <c r="D8">
        <v>14</v>
      </c>
      <c r="E8">
        <v>1488</v>
      </c>
      <c r="F8">
        <v>7893</v>
      </c>
      <c r="G8">
        <v>132.73884000000001</v>
      </c>
      <c r="H8">
        <v>12919</v>
      </c>
      <c r="I8">
        <v>346.42907000000002</v>
      </c>
      <c r="J8">
        <v>8778</v>
      </c>
      <c r="K8" s="3">
        <f>F8/H8-1</f>
        <v>-0.38903939933431375</v>
      </c>
      <c r="L8" s="1">
        <f>J8/F8-1</f>
        <v>0.11212466742683391</v>
      </c>
      <c r="M8" s="3">
        <f>G8/I8-1</f>
        <v>-0.61683688958319816</v>
      </c>
    </row>
    <row r="9" spans="2:13" x14ac:dyDescent="0.2">
      <c r="B9" t="s">
        <v>25</v>
      </c>
      <c r="C9" t="s">
        <v>19</v>
      </c>
      <c r="D9">
        <v>14</v>
      </c>
      <c r="E9">
        <v>1488</v>
      </c>
      <c r="F9">
        <v>10567</v>
      </c>
      <c r="G9">
        <v>161.85106200000001</v>
      </c>
      <c r="H9">
        <v>13433</v>
      </c>
      <c r="I9">
        <v>306.45082100000002</v>
      </c>
      <c r="J9">
        <v>7464</v>
      </c>
      <c r="K9" s="3">
        <f>F9/H9-1</f>
        <v>-0.21335517010347649</v>
      </c>
      <c r="L9" s="3">
        <f>J9/F9-1</f>
        <v>-0.29365004258540739</v>
      </c>
      <c r="M9" s="3">
        <f>G9/I9-1</f>
        <v>-0.47185306447588204</v>
      </c>
    </row>
    <row r="10" spans="2:13" x14ac:dyDescent="0.2">
      <c r="B10" t="s">
        <v>26</v>
      </c>
      <c r="C10" t="s">
        <v>19</v>
      </c>
      <c r="D10">
        <v>12</v>
      </c>
      <c r="E10">
        <v>2109</v>
      </c>
      <c r="F10">
        <v>4962</v>
      </c>
      <c r="G10">
        <v>85.607489999999999</v>
      </c>
      <c r="H10">
        <v>14909</v>
      </c>
      <c r="I10">
        <v>560.85743500000001</v>
      </c>
      <c r="J10">
        <v>4532</v>
      </c>
      <c r="K10" s="3">
        <f>F10/H10-1</f>
        <v>-0.6671808974444966</v>
      </c>
      <c r="L10" s="3">
        <f>J10/F10-1</f>
        <v>-8.6658605401047972E-2</v>
      </c>
      <c r="M10" s="3">
        <f>G10/I10-1</f>
        <v>-0.84736318954209811</v>
      </c>
    </row>
    <row r="11" spans="2:13" x14ac:dyDescent="0.2">
      <c r="B11" t="s">
        <v>27</v>
      </c>
      <c r="C11" t="s">
        <v>19</v>
      </c>
      <c r="D11">
        <v>14</v>
      </c>
      <c r="E11">
        <v>1000</v>
      </c>
      <c r="F11">
        <v>5320</v>
      </c>
      <c r="G11">
        <v>49.378607000000002</v>
      </c>
      <c r="H11">
        <v>8675</v>
      </c>
      <c r="I11">
        <v>105.78508100000001</v>
      </c>
      <c r="J11">
        <v>7590</v>
      </c>
      <c r="K11" s="3">
        <f>F11/H11-1</f>
        <v>-0.3867435158501441</v>
      </c>
      <c r="L11" s="1">
        <f>J11/F11-1</f>
        <v>0.42669172932330834</v>
      </c>
      <c r="M11" s="3">
        <f>G11/I11-1</f>
        <v>-0.53321766610926924</v>
      </c>
    </row>
    <row r="12" spans="2:13" x14ac:dyDescent="0.2">
      <c r="B12" t="s">
        <v>28</v>
      </c>
      <c r="C12" t="s">
        <v>19</v>
      </c>
      <c r="D12">
        <v>14</v>
      </c>
      <c r="E12">
        <v>1000</v>
      </c>
      <c r="F12">
        <v>4252</v>
      </c>
      <c r="G12">
        <v>36.524329999999999</v>
      </c>
      <c r="H12">
        <v>7967</v>
      </c>
      <c r="I12">
        <v>87.638071999999994</v>
      </c>
      <c r="J12">
        <v>3406</v>
      </c>
      <c r="K12" s="3">
        <f>F12/H12-1</f>
        <v>-0.46629848123509476</v>
      </c>
      <c r="L12" s="3">
        <f>J12/F12-1</f>
        <v>-0.19896519285042336</v>
      </c>
      <c r="M12" s="3">
        <f>G12/I12-1</f>
        <v>-0.58323672387498438</v>
      </c>
    </row>
    <row r="13" spans="2:13" x14ac:dyDescent="0.2">
      <c r="B13" t="s">
        <v>29</v>
      </c>
      <c r="C13" t="s">
        <v>19</v>
      </c>
      <c r="D13">
        <v>12</v>
      </c>
      <c r="E13">
        <v>1085</v>
      </c>
      <c r="F13">
        <v>3222</v>
      </c>
      <c r="G13">
        <v>23.810727</v>
      </c>
      <c r="H13">
        <v>8077</v>
      </c>
      <c r="I13">
        <v>90.031066999999993</v>
      </c>
      <c r="J13">
        <v>2767</v>
      </c>
      <c r="K13" s="3">
        <f>F13/H13-1</f>
        <v>-0.60108951343320538</v>
      </c>
      <c r="L13" s="3">
        <f>J13/F13-1</f>
        <v>-0.1412166356300435</v>
      </c>
      <c r="M13" s="3">
        <f>G13/I13-1</f>
        <v>-0.73552765957999799</v>
      </c>
    </row>
    <row r="14" spans="2:13" x14ac:dyDescent="0.2">
      <c r="B14" t="s">
        <v>30</v>
      </c>
      <c r="C14" t="s">
        <v>19</v>
      </c>
      <c r="D14">
        <v>8</v>
      </c>
      <c r="E14">
        <v>84</v>
      </c>
      <c r="F14">
        <v>289</v>
      </c>
      <c r="G14">
        <v>0.19081300000000001</v>
      </c>
      <c r="H14">
        <v>443</v>
      </c>
      <c r="I14">
        <v>0.279721</v>
      </c>
      <c r="J14">
        <v>266</v>
      </c>
      <c r="K14" s="3">
        <f>F14/H14-1</f>
        <v>-0.34762979683972917</v>
      </c>
      <c r="L14" s="3">
        <f>J14/F14-1</f>
        <v>-7.9584775086505188E-2</v>
      </c>
      <c r="M14" s="3">
        <f>G14/I14-1</f>
        <v>-0.31784528154839997</v>
      </c>
    </row>
    <row r="15" spans="2:13" x14ac:dyDescent="0.2">
      <c r="B15" t="s">
        <v>31</v>
      </c>
      <c r="C15" t="s">
        <v>32</v>
      </c>
      <c r="D15">
        <v>4</v>
      </c>
      <c r="E15">
        <v>12</v>
      </c>
      <c r="F15">
        <v>22</v>
      </c>
      <c r="G15">
        <v>1.486E-2</v>
      </c>
      <c r="H15">
        <v>35</v>
      </c>
      <c r="I15">
        <v>5.5510000000000004E-3</v>
      </c>
      <c r="J15">
        <v>24</v>
      </c>
      <c r="K15" s="3">
        <f>F15/H15-1</f>
        <v>-0.37142857142857144</v>
      </c>
      <c r="L15" s="1">
        <f>J15/F15-1</f>
        <v>9.0909090909090828E-2</v>
      </c>
      <c r="M15" s="7">
        <f>G15/I15-1</f>
        <v>1.6769951360115294</v>
      </c>
    </row>
    <row r="16" spans="2:13" x14ac:dyDescent="0.2">
      <c r="B16" t="s">
        <v>33</v>
      </c>
      <c r="C16" t="s">
        <v>19</v>
      </c>
      <c r="D16">
        <v>8</v>
      </c>
      <c r="E16">
        <v>84</v>
      </c>
      <c r="F16">
        <v>327</v>
      </c>
      <c r="G16">
        <v>0.27967599999999998</v>
      </c>
      <c r="H16">
        <v>414</v>
      </c>
      <c r="I16">
        <v>0.30827500000000002</v>
      </c>
      <c r="J16">
        <v>247</v>
      </c>
      <c r="K16" s="3">
        <f>F16/H16-1</f>
        <v>-0.21014492753623193</v>
      </c>
      <c r="L16" s="3">
        <f>J16/F16-1</f>
        <v>-0.24464831804281351</v>
      </c>
      <c r="M16" s="3">
        <f>G16/I16-1</f>
        <v>-9.2771064796042579E-2</v>
      </c>
    </row>
    <row r="17" spans="2:13" x14ac:dyDescent="0.2">
      <c r="B17" t="s">
        <v>34</v>
      </c>
      <c r="C17" t="s">
        <v>32</v>
      </c>
      <c r="D17">
        <v>4</v>
      </c>
      <c r="E17">
        <v>12</v>
      </c>
      <c r="F17">
        <v>24</v>
      </c>
      <c r="G17">
        <v>1.1167E-2</v>
      </c>
      <c r="H17">
        <v>38</v>
      </c>
      <c r="I17">
        <v>6.3090000000000004E-3</v>
      </c>
      <c r="J17">
        <v>29</v>
      </c>
      <c r="K17" s="3">
        <f>F17/H17-1</f>
        <v>-0.36842105263157898</v>
      </c>
      <c r="L17" s="1">
        <f>J17/F17-1</f>
        <v>0.20833333333333326</v>
      </c>
      <c r="M17" s="7">
        <f>G17/I17-1</f>
        <v>0.77001109526073841</v>
      </c>
    </row>
    <row r="18" spans="2:13" x14ac:dyDescent="0.2">
      <c r="B18" t="s">
        <v>35</v>
      </c>
      <c r="C18" t="s">
        <v>36</v>
      </c>
      <c r="D18">
        <v>6</v>
      </c>
      <c r="E18">
        <v>158</v>
      </c>
      <c r="F18">
        <v>237</v>
      </c>
      <c r="G18">
        <v>0.26958500000000002</v>
      </c>
      <c r="H18">
        <v>433</v>
      </c>
      <c r="I18">
        <v>0.34162100000000001</v>
      </c>
      <c r="J18">
        <v>215</v>
      </c>
      <c r="K18" s="3">
        <f>F18/H18-1</f>
        <v>-0.45265588914549648</v>
      </c>
      <c r="L18" s="3">
        <f>J18/F18-1</f>
        <v>-9.2827004219409259E-2</v>
      </c>
      <c r="M18" s="3">
        <f>G18/I18-1</f>
        <v>-0.210865257112414</v>
      </c>
    </row>
    <row r="19" spans="2:13" x14ac:dyDescent="0.2">
      <c r="B19" t="s">
        <v>37</v>
      </c>
      <c r="C19" t="s">
        <v>32</v>
      </c>
      <c r="D19">
        <v>2</v>
      </c>
      <c r="E19">
        <v>4</v>
      </c>
      <c r="F19">
        <v>5</v>
      </c>
      <c r="G19">
        <v>5.1599999999999997E-3</v>
      </c>
      <c r="H19">
        <v>5</v>
      </c>
      <c r="I19">
        <v>2.0890000000000001E-3</v>
      </c>
      <c r="J19">
        <v>2</v>
      </c>
      <c r="K19" s="7">
        <f>F19/H19-1</f>
        <v>0</v>
      </c>
      <c r="L19" s="3">
        <f>J19/F19-1</f>
        <v>-0.6</v>
      </c>
      <c r="M19" s="7">
        <f>G19/I19-1</f>
        <v>1.4700813786500713</v>
      </c>
    </row>
    <row r="20" spans="2:13" x14ac:dyDescent="0.2">
      <c r="B20" t="s">
        <v>38</v>
      </c>
      <c r="C20" t="s">
        <v>22</v>
      </c>
      <c r="D20">
        <v>16</v>
      </c>
      <c r="E20">
        <v>1440</v>
      </c>
      <c r="F20">
        <v>11382</v>
      </c>
      <c r="G20">
        <v>164.80469600000001</v>
      </c>
      <c r="H20">
        <v>13852</v>
      </c>
      <c r="I20">
        <v>378.60474699999997</v>
      </c>
      <c r="J20">
        <v>11815</v>
      </c>
      <c r="K20" s="3">
        <f>F20/H20-1</f>
        <v>-0.17831360092405424</v>
      </c>
      <c r="L20" s="1">
        <f>J20/F20-1</f>
        <v>3.8042523282375784E-2</v>
      </c>
      <c r="M20" s="3">
        <f>G20/I20-1</f>
        <v>-0.56470515146499201</v>
      </c>
    </row>
    <row r="21" spans="2:13" x14ac:dyDescent="0.2">
      <c r="B21" t="s">
        <v>39</v>
      </c>
      <c r="C21" t="s">
        <v>19</v>
      </c>
      <c r="D21">
        <v>8</v>
      </c>
      <c r="E21">
        <v>160</v>
      </c>
      <c r="F21">
        <v>448</v>
      </c>
      <c r="G21">
        <v>0.668852</v>
      </c>
      <c r="H21">
        <v>878</v>
      </c>
      <c r="I21">
        <v>1.1275869999999999</v>
      </c>
      <c r="J21">
        <v>382</v>
      </c>
      <c r="K21" s="3">
        <f>F21/H21-1</f>
        <v>-0.48974943052391795</v>
      </c>
      <c r="L21" s="3">
        <f>J21/F21-1</f>
        <v>-0.1473214285714286</v>
      </c>
      <c r="M21" s="3">
        <f>G21/I21-1</f>
        <v>-0.40682891874418559</v>
      </c>
    </row>
    <row r="22" spans="2:13" x14ac:dyDescent="0.2">
      <c r="B22" t="s">
        <v>40</v>
      </c>
      <c r="C22" t="s">
        <v>22</v>
      </c>
      <c r="D22">
        <v>16</v>
      </c>
      <c r="E22">
        <v>1440</v>
      </c>
      <c r="F22">
        <v>11626</v>
      </c>
      <c r="G22">
        <v>165.386697</v>
      </c>
      <c r="H22">
        <v>11727</v>
      </c>
      <c r="I22">
        <v>309.21366599999999</v>
      </c>
      <c r="J22">
        <v>6468</v>
      </c>
      <c r="K22" s="3">
        <f>F22/H22-1</f>
        <v>-8.6126033938773716E-3</v>
      </c>
      <c r="L22" s="3">
        <f>J22/F22-1</f>
        <v>-0.44366076036469981</v>
      </c>
      <c r="M22" s="3">
        <f>G22/I22-1</f>
        <v>-0.46513781509255803</v>
      </c>
    </row>
    <row r="23" spans="2:13" x14ac:dyDescent="0.2">
      <c r="B23" t="s">
        <v>41</v>
      </c>
      <c r="C23" t="s">
        <v>19</v>
      </c>
      <c r="D23">
        <v>8</v>
      </c>
      <c r="E23">
        <v>160</v>
      </c>
      <c r="F23">
        <v>507</v>
      </c>
      <c r="G23">
        <v>0.79593100000000006</v>
      </c>
      <c r="H23">
        <v>883</v>
      </c>
      <c r="I23">
        <v>1.149607</v>
      </c>
      <c r="J23">
        <v>421</v>
      </c>
      <c r="K23" s="3">
        <f>F23/H23-1</f>
        <v>-0.42582106455266133</v>
      </c>
      <c r="L23" s="3">
        <f>J23/F23-1</f>
        <v>-0.16962524654832345</v>
      </c>
      <c r="M23" s="3">
        <f>G23/I23-1</f>
        <v>-0.30764948369312295</v>
      </c>
    </row>
    <row r="24" spans="2:13" x14ac:dyDescent="0.2">
      <c r="B24" t="s">
        <v>42</v>
      </c>
      <c r="C24" t="s">
        <v>19</v>
      </c>
      <c r="D24">
        <v>14</v>
      </c>
      <c r="E24">
        <v>2912</v>
      </c>
      <c r="F24">
        <v>15866</v>
      </c>
      <c r="G24">
        <v>318.762201</v>
      </c>
      <c r="H24">
        <v>24224</v>
      </c>
      <c r="I24">
        <v>1493.9029410000001</v>
      </c>
      <c r="J24">
        <v>8374</v>
      </c>
      <c r="K24" s="3">
        <f>F24/H24-1</f>
        <v>-0.34502972258916775</v>
      </c>
      <c r="L24" s="3">
        <f>J24/F24-1</f>
        <v>-0.47220471448380186</v>
      </c>
      <c r="M24" s="3">
        <f>G24/I24-1</f>
        <v>-0.78662455755885685</v>
      </c>
    </row>
    <row r="25" spans="2:13" x14ac:dyDescent="0.2">
      <c r="B25" t="s">
        <v>43</v>
      </c>
      <c r="C25" t="s">
        <v>36</v>
      </c>
      <c r="D25">
        <v>6</v>
      </c>
      <c r="E25">
        <v>164</v>
      </c>
      <c r="F25">
        <v>217</v>
      </c>
      <c r="G25">
        <v>0.58277299999999999</v>
      </c>
      <c r="H25">
        <v>471</v>
      </c>
      <c r="I25">
        <v>0.57758100000000001</v>
      </c>
      <c r="J25">
        <v>191</v>
      </c>
      <c r="K25" s="3">
        <f>F25/H25-1</f>
        <v>-0.53927813163481952</v>
      </c>
      <c r="L25" s="3">
        <f>J25/F25-1</f>
        <v>-0.11981566820276501</v>
      </c>
      <c r="M25" s="7">
        <f>G25/I25-1</f>
        <v>8.9892153654638207E-3</v>
      </c>
    </row>
    <row r="26" spans="2:13" x14ac:dyDescent="0.2">
      <c r="B26" t="s">
        <v>44</v>
      </c>
      <c r="C26" t="s">
        <v>22</v>
      </c>
      <c r="D26">
        <v>16</v>
      </c>
      <c r="E26">
        <v>2688</v>
      </c>
      <c r="F26">
        <v>20605</v>
      </c>
      <c r="G26">
        <v>626.60672199999999</v>
      </c>
      <c r="H26">
        <v>28018</v>
      </c>
      <c r="I26">
        <v>1932.4593809999999</v>
      </c>
      <c r="J26">
        <v>11809</v>
      </c>
      <c r="K26" s="3">
        <f>F26/H26-1</f>
        <v>-0.26457991291312732</v>
      </c>
      <c r="L26" s="3">
        <f>J26/F26-1</f>
        <v>-0.42688667799077895</v>
      </c>
      <c r="M26" s="3">
        <f>G26/I26-1</f>
        <v>-0.67574649787684204</v>
      </c>
    </row>
    <row r="27" spans="2:13" x14ac:dyDescent="0.2">
      <c r="B27" t="s">
        <v>45</v>
      </c>
      <c r="C27" t="s">
        <v>22</v>
      </c>
      <c r="D27">
        <v>16</v>
      </c>
      <c r="E27">
        <v>2688</v>
      </c>
      <c r="F27">
        <v>9143</v>
      </c>
      <c r="G27">
        <v>335.78666199999998</v>
      </c>
      <c r="H27">
        <v>29280</v>
      </c>
      <c r="I27">
        <v>2134.8060519999999</v>
      </c>
      <c r="J27">
        <v>10652</v>
      </c>
      <c r="K27" s="3">
        <f>F27/H27-1</f>
        <v>-0.68773907103825138</v>
      </c>
      <c r="L27" s="1">
        <f>J27/F27-1</f>
        <v>0.1650442961828722</v>
      </c>
      <c r="M27" s="3">
        <f>G27/I27-1</f>
        <v>-0.84270858625053213</v>
      </c>
    </row>
    <row r="28" spans="2:13" x14ac:dyDescent="0.2">
      <c r="B28" t="s">
        <v>46</v>
      </c>
      <c r="C28" t="s">
        <v>22</v>
      </c>
      <c r="D28">
        <v>20</v>
      </c>
      <c r="E28">
        <v>684</v>
      </c>
      <c r="F28">
        <v>4953</v>
      </c>
      <c r="G28">
        <v>34.247933000000003</v>
      </c>
      <c r="H28">
        <v>6308</v>
      </c>
      <c r="I28">
        <v>60.474814000000002</v>
      </c>
      <c r="J28">
        <v>4740</v>
      </c>
      <c r="K28" s="3">
        <f>F28/H28-1</f>
        <v>-0.21480659480025366</v>
      </c>
      <c r="L28" s="3">
        <f>J28/F28-1</f>
        <v>-4.300423985463353E-2</v>
      </c>
      <c r="M28" s="3">
        <f>G28/I28-1</f>
        <v>-0.43368270632465278</v>
      </c>
    </row>
    <row r="29" spans="2:13" x14ac:dyDescent="0.2">
      <c r="B29" t="s">
        <v>47</v>
      </c>
      <c r="C29" t="s">
        <v>22</v>
      </c>
      <c r="D29">
        <v>20</v>
      </c>
      <c r="E29">
        <v>684</v>
      </c>
      <c r="F29">
        <v>4946</v>
      </c>
      <c r="G29">
        <v>32.466031000000001</v>
      </c>
      <c r="H29">
        <v>5807</v>
      </c>
      <c r="I29">
        <v>55.383809999999997</v>
      </c>
      <c r="J29">
        <v>5704</v>
      </c>
      <c r="K29" s="3">
        <f>F29/H29-1</f>
        <v>-0.14826933011882215</v>
      </c>
      <c r="L29" s="1">
        <f>J29/F29-1</f>
        <v>0.15325515568135861</v>
      </c>
      <c r="M29" s="3">
        <f>G29/I29-1</f>
        <v>-0.41379924927519429</v>
      </c>
    </row>
    <row r="30" spans="2:13" x14ac:dyDescent="0.2">
      <c r="B30" t="s">
        <v>48</v>
      </c>
      <c r="C30" t="s">
        <v>22</v>
      </c>
      <c r="D30">
        <v>22</v>
      </c>
      <c r="E30">
        <v>3240</v>
      </c>
      <c r="F30">
        <v>42385</v>
      </c>
      <c r="G30">
        <v>1592.0266979999999</v>
      </c>
      <c r="H30">
        <v>35792</v>
      </c>
      <c r="I30">
        <v>3037.7464949999999</v>
      </c>
      <c r="J30">
        <v>47282</v>
      </c>
      <c r="K30" s="7">
        <f>F30/H30-1</f>
        <v>0.18420317389360741</v>
      </c>
      <c r="L30" s="1">
        <f>J30/F30-1</f>
        <v>0.11553615665919548</v>
      </c>
      <c r="M30" s="3">
        <f>G30/I30-1</f>
        <v>-0.47591851373364846</v>
      </c>
    </row>
    <row r="31" spans="2:13" x14ac:dyDescent="0.2">
      <c r="B31" t="s">
        <v>49</v>
      </c>
      <c r="C31" t="s">
        <v>19</v>
      </c>
      <c r="D31">
        <v>12</v>
      </c>
      <c r="E31">
        <v>640</v>
      </c>
      <c r="F31">
        <v>2564</v>
      </c>
      <c r="G31">
        <v>15.482094999999999</v>
      </c>
      <c r="H31">
        <v>4250</v>
      </c>
      <c r="I31">
        <v>28.972878999999999</v>
      </c>
      <c r="J31">
        <v>3275</v>
      </c>
      <c r="K31" s="3">
        <f>F31/H31-1</f>
        <v>-0.39670588235294113</v>
      </c>
      <c r="L31" s="1">
        <f>J31/F31-1</f>
        <v>0.27730109204368181</v>
      </c>
      <c r="M31" s="3">
        <f>G31/I31-1</f>
        <v>-0.4656349132580162</v>
      </c>
    </row>
    <row r="32" spans="2:13" x14ac:dyDescent="0.2">
      <c r="B32" t="s">
        <v>50</v>
      </c>
      <c r="C32" t="s">
        <v>22</v>
      </c>
      <c r="D32">
        <v>22</v>
      </c>
      <c r="E32">
        <v>3240</v>
      </c>
      <c r="F32">
        <v>24416</v>
      </c>
      <c r="G32">
        <v>852.84564499999999</v>
      </c>
      <c r="H32">
        <v>33673</v>
      </c>
      <c r="I32">
        <v>3113.253412</v>
      </c>
      <c r="J32">
        <v>16037</v>
      </c>
      <c r="K32" s="3">
        <f>F32/H32-1</f>
        <v>-0.27490868054524398</v>
      </c>
      <c r="L32" s="3">
        <f>J32/F32-1</f>
        <v>-0.34317660550458717</v>
      </c>
      <c r="M32" s="3">
        <f>G32/I32-1</f>
        <v>-0.7260596770848412</v>
      </c>
    </row>
    <row r="33" spans="2:13" x14ac:dyDescent="0.2">
      <c r="B33" t="s">
        <v>51</v>
      </c>
      <c r="C33" t="s">
        <v>19</v>
      </c>
      <c r="D33">
        <v>12</v>
      </c>
      <c r="E33">
        <v>640</v>
      </c>
      <c r="F33">
        <v>2503</v>
      </c>
      <c r="G33">
        <v>14.346698</v>
      </c>
      <c r="H33">
        <v>4331</v>
      </c>
      <c r="I33">
        <v>29.301047000000001</v>
      </c>
      <c r="J33">
        <v>2336</v>
      </c>
      <c r="K33" s="3">
        <f>F33/H33-1</f>
        <v>-0.4220734241514662</v>
      </c>
      <c r="L33" s="3">
        <f>J33/F33-1</f>
        <v>-6.6719936076707897E-2</v>
      </c>
      <c r="M33" s="3">
        <f>G33/I33-1</f>
        <v>-0.51036910046251927</v>
      </c>
    </row>
    <row r="34" spans="2:13" x14ac:dyDescent="0.2">
      <c r="B34" t="s">
        <v>52</v>
      </c>
      <c r="C34" t="s">
        <v>19</v>
      </c>
      <c r="D34">
        <v>10</v>
      </c>
      <c r="E34">
        <v>630</v>
      </c>
      <c r="F34">
        <v>1432</v>
      </c>
      <c r="G34">
        <v>6.5066259999999998</v>
      </c>
      <c r="H34">
        <v>3472</v>
      </c>
      <c r="I34">
        <v>20.047049999999999</v>
      </c>
      <c r="J34">
        <v>1468</v>
      </c>
      <c r="K34" s="3">
        <f>F34/H34-1</f>
        <v>-0.5875576036866359</v>
      </c>
      <c r="L34" s="1">
        <f>J34/F34-1</f>
        <v>2.5139664804469275E-2</v>
      </c>
      <c r="M34" s="3">
        <f>G34/I34-1</f>
        <v>-0.67543224564212689</v>
      </c>
    </row>
    <row r="35" spans="2:13" x14ac:dyDescent="0.2">
      <c r="B35" t="s">
        <v>53</v>
      </c>
      <c r="C35" t="s">
        <v>22</v>
      </c>
      <c r="D35">
        <v>18</v>
      </c>
      <c r="E35">
        <v>2950</v>
      </c>
      <c r="F35">
        <v>21728</v>
      </c>
      <c r="G35">
        <v>508.06735300000003</v>
      </c>
      <c r="H35">
        <v>35602</v>
      </c>
      <c r="I35">
        <v>2431.2650039999999</v>
      </c>
      <c r="J35">
        <v>15910</v>
      </c>
      <c r="K35" s="3">
        <f>F35/H35-1</f>
        <v>-0.38969720802202124</v>
      </c>
      <c r="L35" s="3">
        <f>J35/F35-1</f>
        <v>-0.2677650957290133</v>
      </c>
      <c r="M35" s="3">
        <f>G35/I35-1</f>
        <v>-0.79102757117627642</v>
      </c>
    </row>
    <row r="36" spans="2:13" x14ac:dyDescent="0.2">
      <c r="B36" t="s">
        <v>54</v>
      </c>
      <c r="C36" t="s">
        <v>22</v>
      </c>
      <c r="D36">
        <v>16</v>
      </c>
      <c r="E36">
        <v>2340</v>
      </c>
      <c r="F36">
        <v>19534</v>
      </c>
      <c r="G36">
        <v>472.31464199999999</v>
      </c>
      <c r="H36">
        <v>25280</v>
      </c>
      <c r="I36">
        <v>1281.476625</v>
      </c>
      <c r="J36">
        <v>13035</v>
      </c>
      <c r="K36" s="3">
        <f>F36/H36-1</f>
        <v>-0.2272943037974684</v>
      </c>
      <c r="L36" s="3">
        <f>J36/F36-1</f>
        <v>-0.33270195556465654</v>
      </c>
      <c r="M36" s="3">
        <f>G36/I36-1</f>
        <v>-0.63142937390683973</v>
      </c>
    </row>
    <row r="37" spans="2:13" x14ac:dyDescent="0.2">
      <c r="B37" t="s">
        <v>55</v>
      </c>
      <c r="C37" t="s">
        <v>22</v>
      </c>
      <c r="D37">
        <v>16</v>
      </c>
      <c r="E37">
        <v>2340</v>
      </c>
      <c r="F37">
        <v>9597</v>
      </c>
      <c r="G37">
        <v>222.20063200000001</v>
      </c>
      <c r="H37">
        <v>23182</v>
      </c>
      <c r="I37">
        <v>1149.347585</v>
      </c>
      <c r="J37">
        <v>9670</v>
      </c>
      <c r="K37" s="3">
        <f>F37/H37-1</f>
        <v>-0.58601501164696745</v>
      </c>
      <c r="L37" s="1">
        <f>J37/F37-1</f>
        <v>7.6065437115764301E-3</v>
      </c>
      <c r="M37" s="3">
        <f>G37/I37-1</f>
        <v>-0.8066723810099623</v>
      </c>
    </row>
    <row r="38" spans="2:13" x14ac:dyDescent="0.2">
      <c r="B38" t="s">
        <v>56</v>
      </c>
      <c r="C38" t="s">
        <v>19</v>
      </c>
      <c r="D38">
        <v>12</v>
      </c>
      <c r="E38">
        <v>640</v>
      </c>
      <c r="F38">
        <v>2200</v>
      </c>
      <c r="G38">
        <v>10.826136999999999</v>
      </c>
      <c r="H38">
        <v>4788</v>
      </c>
      <c r="I38">
        <v>27.872985</v>
      </c>
      <c r="J38">
        <v>2461</v>
      </c>
      <c r="K38" s="3">
        <f>F38/H38-1</f>
        <v>-0.54051796157059318</v>
      </c>
      <c r="L38" s="1">
        <f>J38/F38-1</f>
        <v>0.11863636363636365</v>
      </c>
      <c r="M38" s="3">
        <f>G38/I38-1</f>
        <v>-0.61159032661912605</v>
      </c>
    </row>
    <row r="39" spans="2:13" x14ac:dyDescent="0.2">
      <c r="B39" t="s">
        <v>57</v>
      </c>
      <c r="C39" t="s">
        <v>19</v>
      </c>
      <c r="D39">
        <v>12</v>
      </c>
      <c r="E39">
        <v>640</v>
      </c>
      <c r="F39">
        <v>2301</v>
      </c>
      <c r="G39">
        <v>14.329871000000001</v>
      </c>
      <c r="H39">
        <v>4884</v>
      </c>
      <c r="I39">
        <v>32.869433999999998</v>
      </c>
      <c r="J39">
        <v>2415</v>
      </c>
      <c r="K39" s="3">
        <f>F39/H39-1</f>
        <v>-0.52886977886977893</v>
      </c>
      <c r="L39" s="1">
        <f>J39/F39-1</f>
        <v>4.9543676662320735E-2</v>
      </c>
      <c r="M39" s="3">
        <f>G39/I39-1</f>
        <v>-0.56403657574389632</v>
      </c>
    </row>
    <row r="40" spans="2:13" x14ac:dyDescent="0.2">
      <c r="B40" t="s">
        <v>58</v>
      </c>
      <c r="C40" t="s">
        <v>19</v>
      </c>
      <c r="D40">
        <v>10</v>
      </c>
      <c r="E40">
        <v>630</v>
      </c>
      <c r="F40">
        <v>1432</v>
      </c>
      <c r="G40">
        <v>6.5269760000000003</v>
      </c>
      <c r="H40">
        <v>3472</v>
      </c>
      <c r="I40">
        <v>19.445034</v>
      </c>
      <c r="J40">
        <v>1468</v>
      </c>
      <c r="K40" s="3">
        <f>F40/H40-1</f>
        <v>-0.5875576036866359</v>
      </c>
      <c r="L40" s="1">
        <f>J40/F40-1</f>
        <v>2.5139664804469275E-2</v>
      </c>
      <c r="M40" s="3">
        <f>G40/I40-1</f>
        <v>-0.66433712586977212</v>
      </c>
    </row>
    <row r="41" spans="2:13" x14ac:dyDescent="0.2">
      <c r="K41" s="3"/>
      <c r="L41" s="1"/>
      <c r="M41" s="3"/>
    </row>
    <row r="42" spans="2:13" x14ac:dyDescent="0.2">
      <c r="K42" s="3"/>
      <c r="L42" s="1"/>
      <c r="M42" s="3"/>
    </row>
    <row r="43" spans="2:13" x14ac:dyDescent="0.2">
      <c r="K43" s="3"/>
      <c r="L43" s="1"/>
      <c r="M43" s="3"/>
    </row>
    <row r="44" spans="2:13" x14ac:dyDescent="0.2">
      <c r="K44" s="3"/>
      <c r="L44" s="1"/>
      <c r="M44" s="3"/>
    </row>
    <row r="45" spans="2:13" x14ac:dyDescent="0.2">
      <c r="K45" s="3"/>
      <c r="L45" s="1"/>
      <c r="M45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4F460-F86E-7C4A-B7F3-1237ED3448DF}">
  <dimension ref="A1:R33"/>
  <sheetViews>
    <sheetView workbookViewId="0">
      <selection activeCell="B2" sqref="B2:N29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 s="2">
        <v>9.6999999999999993</v>
      </c>
      <c r="C2" s="2">
        <v>0.6</v>
      </c>
      <c r="D2" s="2">
        <v>7.5</v>
      </c>
      <c r="E2" s="2">
        <v>0.6</v>
      </c>
      <c r="F2" s="2">
        <v>9.6</v>
      </c>
      <c r="G2" s="2">
        <v>2.2000000000000002</v>
      </c>
      <c r="H2" s="2">
        <v>6.7</v>
      </c>
      <c r="I2" s="2">
        <v>2.2999999999999998</v>
      </c>
      <c r="J2" s="2">
        <v>-22.7</v>
      </c>
      <c r="K2" s="2">
        <v>-1</v>
      </c>
      <c r="L2" s="2">
        <v>-30.2</v>
      </c>
      <c r="M2" s="2">
        <v>-30.9</v>
      </c>
      <c r="N2" s="2">
        <v>266.7</v>
      </c>
      <c r="O2">
        <v>1</v>
      </c>
      <c r="P2" s="1">
        <f t="shared" ref="P2:P29" si="0">D2/B2</f>
        <v>0.77319587628865982</v>
      </c>
      <c r="Q2" s="1">
        <f t="shared" ref="Q2:Q29" si="1">F2/B2</f>
        <v>0.98969072164948457</v>
      </c>
      <c r="R2" s="1">
        <f t="shared" ref="R2:R29" si="2">H2/B2</f>
        <v>0.69072164948453618</v>
      </c>
    </row>
    <row r="3" spans="1:18" x14ac:dyDescent="0.2">
      <c r="A3">
        <v>4</v>
      </c>
      <c r="B3" s="2">
        <v>16.3</v>
      </c>
      <c r="C3" s="2">
        <v>1</v>
      </c>
      <c r="D3" s="2">
        <v>15</v>
      </c>
      <c r="E3" s="2">
        <v>1</v>
      </c>
      <c r="F3" s="2">
        <v>14.9</v>
      </c>
      <c r="G3" s="2">
        <v>2.7</v>
      </c>
      <c r="H3" s="2">
        <v>13.1</v>
      </c>
      <c r="I3" s="2">
        <v>2.6</v>
      </c>
      <c r="J3" s="2">
        <v>-8</v>
      </c>
      <c r="K3" s="2">
        <v>-8.6</v>
      </c>
      <c r="L3" s="2">
        <v>-12.1</v>
      </c>
      <c r="M3" s="2">
        <v>-19.600000000000001</v>
      </c>
      <c r="N3" s="2">
        <v>170</v>
      </c>
      <c r="O3">
        <v>1</v>
      </c>
      <c r="P3" s="1">
        <f t="shared" si="0"/>
        <v>0.92024539877300604</v>
      </c>
      <c r="Q3" s="1">
        <f t="shared" si="1"/>
        <v>0.9141104294478527</v>
      </c>
      <c r="R3" s="1">
        <f t="shared" si="2"/>
        <v>0.80368098159509194</v>
      </c>
    </row>
    <row r="4" spans="1:18" x14ac:dyDescent="0.2">
      <c r="A4">
        <v>6</v>
      </c>
      <c r="B4" s="2">
        <v>23.8</v>
      </c>
      <c r="C4" s="2">
        <v>1.5</v>
      </c>
      <c r="D4" s="2">
        <v>21.4</v>
      </c>
      <c r="E4" s="2">
        <v>1.4</v>
      </c>
      <c r="F4" s="2">
        <v>19.899999999999999</v>
      </c>
      <c r="G4" s="2">
        <v>3.2</v>
      </c>
      <c r="H4" s="2">
        <v>18.100000000000001</v>
      </c>
      <c r="I4" s="2">
        <v>3</v>
      </c>
      <c r="J4" s="2">
        <v>-10.1</v>
      </c>
      <c r="K4" s="2">
        <v>-16.399999999999999</v>
      </c>
      <c r="L4" s="2">
        <v>-9</v>
      </c>
      <c r="M4" s="2">
        <v>-23.9</v>
      </c>
      <c r="N4" s="2">
        <v>113.3</v>
      </c>
      <c r="O4">
        <v>1</v>
      </c>
      <c r="P4" s="1">
        <f t="shared" si="0"/>
        <v>0.89915966386554613</v>
      </c>
      <c r="Q4" s="1">
        <f t="shared" si="1"/>
        <v>0.83613445378151252</v>
      </c>
      <c r="R4" s="1">
        <f t="shared" si="2"/>
        <v>0.76050420168067234</v>
      </c>
    </row>
    <row r="5" spans="1:18" x14ac:dyDescent="0.2">
      <c r="A5">
        <v>8</v>
      </c>
      <c r="B5" s="2">
        <v>29.4</v>
      </c>
      <c r="C5" s="2">
        <v>1.9</v>
      </c>
      <c r="D5" s="2">
        <v>28</v>
      </c>
      <c r="E5" s="2">
        <v>1.9</v>
      </c>
      <c r="F5" s="2">
        <v>24.4</v>
      </c>
      <c r="G5" s="2">
        <v>3.7</v>
      </c>
      <c r="H5" s="2">
        <v>22.8</v>
      </c>
      <c r="I5" s="2">
        <v>3.8</v>
      </c>
      <c r="J5" s="2">
        <v>-4.8</v>
      </c>
      <c r="K5" s="2">
        <v>-17</v>
      </c>
      <c r="L5" s="2">
        <v>-6.6</v>
      </c>
      <c r="M5" s="2">
        <v>-22.4</v>
      </c>
      <c r="N5" s="2">
        <v>94.7</v>
      </c>
      <c r="O5">
        <v>1</v>
      </c>
      <c r="P5" s="1">
        <f t="shared" si="0"/>
        <v>0.95238095238095244</v>
      </c>
      <c r="Q5" s="1">
        <f t="shared" si="1"/>
        <v>0.82993197278911568</v>
      </c>
      <c r="R5" s="1">
        <f t="shared" si="2"/>
        <v>0.77551020408163274</v>
      </c>
    </row>
    <row r="6" spans="1:18" x14ac:dyDescent="0.2">
      <c r="A6">
        <v>10</v>
      </c>
      <c r="B6" s="2">
        <v>34.9</v>
      </c>
      <c r="C6" s="2">
        <v>2.2999999999999998</v>
      </c>
      <c r="D6" s="2">
        <v>33.799999999999997</v>
      </c>
      <c r="E6" s="2">
        <v>2.2999999999999998</v>
      </c>
      <c r="F6" s="2">
        <v>28</v>
      </c>
      <c r="G6" s="2">
        <v>4.0999999999999996</v>
      </c>
      <c r="H6" s="2">
        <v>26.2</v>
      </c>
      <c r="I6" s="2">
        <v>4.0999999999999996</v>
      </c>
      <c r="J6" s="2">
        <v>-3.2</v>
      </c>
      <c r="K6" s="2">
        <v>-19.8</v>
      </c>
      <c r="L6" s="2">
        <v>-6.4</v>
      </c>
      <c r="M6" s="2">
        <v>-24.9</v>
      </c>
      <c r="N6" s="2">
        <v>78.3</v>
      </c>
      <c r="O6">
        <v>1</v>
      </c>
      <c r="P6" s="1">
        <f t="shared" si="0"/>
        <v>0.96848137535816614</v>
      </c>
      <c r="Q6" s="1">
        <f t="shared" si="1"/>
        <v>0.80229226361031525</v>
      </c>
      <c r="R6" s="1">
        <f t="shared" si="2"/>
        <v>0.75071633237822355</v>
      </c>
    </row>
    <row r="7" spans="1:18" x14ac:dyDescent="0.2">
      <c r="A7">
        <v>12</v>
      </c>
      <c r="B7" s="2">
        <v>38.9</v>
      </c>
      <c r="C7" s="2">
        <v>2.7</v>
      </c>
      <c r="D7" s="2">
        <v>37.9</v>
      </c>
      <c r="E7" s="2">
        <v>2.6</v>
      </c>
      <c r="F7" s="2">
        <v>30.8</v>
      </c>
      <c r="G7" s="2">
        <v>4.8</v>
      </c>
      <c r="H7" s="2">
        <v>29.3</v>
      </c>
      <c r="I7" s="2">
        <v>4.5</v>
      </c>
      <c r="J7" s="2">
        <v>-2.6</v>
      </c>
      <c r="K7" s="2">
        <v>-20.8</v>
      </c>
      <c r="L7" s="2">
        <v>-4.9000000000000004</v>
      </c>
      <c r="M7" s="2">
        <v>-24.7</v>
      </c>
      <c r="N7" s="2">
        <v>77.8</v>
      </c>
      <c r="O7">
        <v>1</v>
      </c>
      <c r="P7" s="1">
        <f t="shared" si="0"/>
        <v>0.97429305912596398</v>
      </c>
      <c r="Q7" s="1">
        <f t="shared" si="1"/>
        <v>0.79177377892030854</v>
      </c>
      <c r="R7" s="1">
        <f t="shared" si="2"/>
        <v>0.7532133676092545</v>
      </c>
    </row>
    <row r="8" spans="1:18" x14ac:dyDescent="0.2">
      <c r="A8">
        <v>14</v>
      </c>
      <c r="B8" s="2">
        <v>43.2</v>
      </c>
      <c r="C8" s="2">
        <v>3.1</v>
      </c>
      <c r="D8" s="2">
        <v>42.2</v>
      </c>
      <c r="E8" s="2">
        <v>3</v>
      </c>
      <c r="F8" s="2">
        <v>32.9</v>
      </c>
      <c r="G8" s="2">
        <v>5.0999999999999996</v>
      </c>
      <c r="H8" s="2">
        <v>32</v>
      </c>
      <c r="I8" s="2">
        <v>5.2</v>
      </c>
      <c r="J8" s="2">
        <v>-2.2999999999999998</v>
      </c>
      <c r="K8" s="2">
        <v>-23.8</v>
      </c>
      <c r="L8" s="2">
        <v>-2.7</v>
      </c>
      <c r="M8" s="2">
        <v>-25.9</v>
      </c>
      <c r="N8" s="2">
        <v>64.5</v>
      </c>
      <c r="O8">
        <v>1</v>
      </c>
      <c r="P8" s="1">
        <f t="shared" si="0"/>
        <v>0.97685185185185186</v>
      </c>
      <c r="Q8" s="1">
        <f t="shared" si="1"/>
        <v>0.76157407407407396</v>
      </c>
      <c r="R8" s="1">
        <f t="shared" si="2"/>
        <v>0.7407407407407407</v>
      </c>
    </row>
    <row r="9" spans="1:18" x14ac:dyDescent="0.2">
      <c r="A9">
        <v>16</v>
      </c>
      <c r="B9" s="2">
        <v>46.1</v>
      </c>
      <c r="C9" s="2">
        <v>3.5</v>
      </c>
      <c r="D9" s="2">
        <v>44.9</v>
      </c>
      <c r="E9" s="2">
        <v>3.6</v>
      </c>
      <c r="F9" s="2">
        <v>35.4</v>
      </c>
      <c r="G9" s="2">
        <v>5.8</v>
      </c>
      <c r="H9" s="2">
        <v>35</v>
      </c>
      <c r="I9" s="2">
        <v>5.5</v>
      </c>
      <c r="J9" s="2">
        <v>-2.6</v>
      </c>
      <c r="K9" s="2">
        <v>-23.2</v>
      </c>
      <c r="L9" s="2">
        <v>-1.1000000000000001</v>
      </c>
      <c r="M9" s="2">
        <v>-24.1</v>
      </c>
      <c r="N9" s="2">
        <v>65.7</v>
      </c>
      <c r="O9">
        <v>1</v>
      </c>
      <c r="P9" s="1">
        <f t="shared" si="0"/>
        <v>0.97396963123644242</v>
      </c>
      <c r="Q9" s="1">
        <f t="shared" si="1"/>
        <v>0.76789587852494567</v>
      </c>
      <c r="R9" s="1">
        <f t="shared" si="2"/>
        <v>0.75921908893709322</v>
      </c>
    </row>
    <row r="10" spans="1:18" x14ac:dyDescent="0.2">
      <c r="A10">
        <v>18</v>
      </c>
      <c r="B10" s="2">
        <v>49.9</v>
      </c>
      <c r="C10" s="2">
        <v>4</v>
      </c>
      <c r="D10" s="2">
        <v>48.6</v>
      </c>
      <c r="E10" s="2">
        <v>4</v>
      </c>
      <c r="F10" s="2">
        <v>38</v>
      </c>
      <c r="G10" s="2">
        <v>6.1</v>
      </c>
      <c r="H10" s="2">
        <v>37</v>
      </c>
      <c r="I10" s="2">
        <v>6.1</v>
      </c>
      <c r="J10" s="2">
        <v>-2.6</v>
      </c>
      <c r="K10" s="2">
        <v>-23.8</v>
      </c>
      <c r="L10" s="2">
        <v>-2.6</v>
      </c>
      <c r="M10" s="2">
        <v>-25.9</v>
      </c>
      <c r="N10" s="2">
        <v>52.5</v>
      </c>
      <c r="O10">
        <v>1</v>
      </c>
      <c r="P10" s="1">
        <f t="shared" si="0"/>
        <v>0.97394789579158325</v>
      </c>
      <c r="Q10" s="1">
        <f t="shared" si="1"/>
        <v>0.76152304609218435</v>
      </c>
      <c r="R10" s="1">
        <f t="shared" si="2"/>
        <v>0.7414829659318638</v>
      </c>
    </row>
    <row r="11" spans="1:18" x14ac:dyDescent="0.2">
      <c r="A11">
        <v>20</v>
      </c>
      <c r="B11" s="2">
        <v>53.3</v>
      </c>
      <c r="C11" s="2">
        <v>4.5999999999999996</v>
      </c>
      <c r="D11" s="2">
        <v>51.9</v>
      </c>
      <c r="E11" s="2">
        <v>4.3</v>
      </c>
      <c r="F11" s="2">
        <v>39.799999999999997</v>
      </c>
      <c r="G11" s="2">
        <v>6.6</v>
      </c>
      <c r="H11" s="2">
        <v>39.200000000000003</v>
      </c>
      <c r="I11" s="2">
        <v>6.4</v>
      </c>
      <c r="J11" s="2">
        <v>-2.6</v>
      </c>
      <c r="K11" s="2">
        <v>-25.3</v>
      </c>
      <c r="L11" s="2">
        <v>-1.5</v>
      </c>
      <c r="M11" s="2">
        <v>-26.5</v>
      </c>
      <c r="N11" s="2">
        <v>43.5</v>
      </c>
      <c r="O11">
        <v>1</v>
      </c>
      <c r="P11" s="1">
        <f t="shared" si="0"/>
        <v>0.97373358348968109</v>
      </c>
      <c r="Q11" s="1">
        <f t="shared" si="1"/>
        <v>0.74671669793621009</v>
      </c>
      <c r="R11" s="1">
        <f t="shared" si="2"/>
        <v>0.73545966228893067</v>
      </c>
    </row>
    <row r="12" spans="1:18" x14ac:dyDescent="0.2">
      <c r="A12">
        <v>22</v>
      </c>
      <c r="B12" s="2">
        <v>56.7</v>
      </c>
      <c r="C12" s="2">
        <v>4.7</v>
      </c>
      <c r="D12" s="2">
        <v>55.7</v>
      </c>
      <c r="E12" s="2">
        <v>4.5999999999999996</v>
      </c>
      <c r="F12" s="2">
        <v>42.5</v>
      </c>
      <c r="G12" s="2">
        <v>7</v>
      </c>
      <c r="H12" s="2">
        <v>41.4</v>
      </c>
      <c r="I12" s="2">
        <v>6.7</v>
      </c>
      <c r="J12" s="2">
        <v>-1.8</v>
      </c>
      <c r="K12" s="2">
        <v>-25</v>
      </c>
      <c r="L12" s="2">
        <v>-2.6</v>
      </c>
      <c r="M12" s="2">
        <v>-27</v>
      </c>
      <c r="N12" s="2">
        <v>48.9</v>
      </c>
      <c r="O12">
        <v>1</v>
      </c>
      <c r="P12" s="1">
        <f t="shared" si="0"/>
        <v>0.98236331569664903</v>
      </c>
      <c r="Q12" s="1">
        <f t="shared" si="1"/>
        <v>0.74955908289241624</v>
      </c>
      <c r="R12" s="1">
        <f t="shared" si="2"/>
        <v>0.73015873015873012</v>
      </c>
    </row>
    <row r="13" spans="1:18" x14ac:dyDescent="0.2">
      <c r="A13">
        <v>24</v>
      </c>
      <c r="B13" s="2">
        <v>59.7</v>
      </c>
      <c r="C13" s="2">
        <v>5.4</v>
      </c>
      <c r="D13" s="2">
        <v>58.4</v>
      </c>
      <c r="E13" s="2">
        <v>5</v>
      </c>
      <c r="F13" s="2">
        <v>43.5</v>
      </c>
      <c r="G13" s="2">
        <v>7.5</v>
      </c>
      <c r="H13" s="2">
        <v>43.1</v>
      </c>
      <c r="I13" s="2">
        <v>7.2</v>
      </c>
      <c r="J13" s="2">
        <v>-2.2000000000000002</v>
      </c>
      <c r="K13" s="2">
        <v>-27.1</v>
      </c>
      <c r="L13" s="2">
        <v>-0.9</v>
      </c>
      <c r="M13" s="2">
        <v>-27.8</v>
      </c>
      <c r="N13" s="2">
        <v>38.9</v>
      </c>
      <c r="O13">
        <v>1</v>
      </c>
      <c r="P13" s="1">
        <f t="shared" si="0"/>
        <v>0.97822445561139026</v>
      </c>
      <c r="Q13" s="1">
        <f t="shared" si="1"/>
        <v>0.72864321608040195</v>
      </c>
      <c r="R13" s="1">
        <f t="shared" si="2"/>
        <v>0.72194304857621439</v>
      </c>
    </row>
    <row r="14" spans="1:18" x14ac:dyDescent="0.2">
      <c r="A14">
        <v>26</v>
      </c>
      <c r="B14" s="2">
        <v>63.5</v>
      </c>
      <c r="C14" s="2">
        <v>5.8</v>
      </c>
      <c r="D14" s="2">
        <v>61.8</v>
      </c>
      <c r="E14" s="2">
        <v>5.6</v>
      </c>
      <c r="F14" s="2">
        <v>45.9</v>
      </c>
      <c r="G14" s="2">
        <v>8.1</v>
      </c>
      <c r="H14" s="2">
        <v>45.2</v>
      </c>
      <c r="I14" s="2">
        <v>8</v>
      </c>
      <c r="J14" s="2">
        <v>-2.7</v>
      </c>
      <c r="K14" s="2">
        <v>-27.7</v>
      </c>
      <c r="L14" s="2">
        <v>-1.5</v>
      </c>
      <c r="M14" s="2">
        <v>-28.8</v>
      </c>
      <c r="N14" s="2">
        <v>39.700000000000003</v>
      </c>
      <c r="O14">
        <v>1</v>
      </c>
      <c r="P14" s="1">
        <f t="shared" si="0"/>
        <v>0.97322834645669287</v>
      </c>
      <c r="Q14" s="1">
        <f t="shared" si="1"/>
        <v>0.72283464566929134</v>
      </c>
      <c r="R14" s="1">
        <f t="shared" si="2"/>
        <v>0.71181102362204729</v>
      </c>
    </row>
    <row r="15" spans="1:18" x14ac:dyDescent="0.2">
      <c r="A15">
        <v>28</v>
      </c>
      <c r="B15" s="2">
        <v>66.5</v>
      </c>
      <c r="C15" s="2">
        <v>6.3</v>
      </c>
      <c r="D15" s="2">
        <v>65.7</v>
      </c>
      <c r="E15" s="2">
        <v>6.3</v>
      </c>
      <c r="F15" s="2">
        <v>47.5</v>
      </c>
      <c r="G15" s="2">
        <v>8.6999999999999993</v>
      </c>
      <c r="H15" s="2">
        <v>47.1</v>
      </c>
      <c r="I15" s="2">
        <v>8.3000000000000007</v>
      </c>
      <c r="J15" s="2">
        <v>-1.2</v>
      </c>
      <c r="K15" s="2">
        <v>-28.6</v>
      </c>
      <c r="L15" s="2">
        <v>-0.8</v>
      </c>
      <c r="M15" s="2">
        <v>-29.2</v>
      </c>
      <c r="N15" s="2">
        <v>38.1</v>
      </c>
      <c r="O15">
        <v>1</v>
      </c>
      <c r="P15" s="1">
        <f t="shared" si="0"/>
        <v>0.98796992481203016</v>
      </c>
      <c r="Q15" s="1">
        <f t="shared" si="1"/>
        <v>0.7142857142857143</v>
      </c>
      <c r="R15" s="1">
        <f t="shared" si="2"/>
        <v>0.70827067669172938</v>
      </c>
    </row>
    <row r="16" spans="1:18" x14ac:dyDescent="0.2">
      <c r="A16">
        <v>30</v>
      </c>
      <c r="B16" s="2">
        <v>70.900000000000006</v>
      </c>
      <c r="C16" s="2">
        <v>7.3</v>
      </c>
      <c r="D16" s="2">
        <v>68.3</v>
      </c>
      <c r="E16" s="2">
        <v>7</v>
      </c>
      <c r="F16" s="2">
        <v>49.8</v>
      </c>
      <c r="G16" s="2">
        <v>9.6</v>
      </c>
      <c r="H16" s="2">
        <v>49</v>
      </c>
      <c r="I16" s="2">
        <v>9.1</v>
      </c>
      <c r="J16" s="2">
        <v>-3.7</v>
      </c>
      <c r="K16" s="2">
        <v>-29.8</v>
      </c>
      <c r="L16" s="2">
        <v>-1.6</v>
      </c>
      <c r="M16" s="2">
        <v>-30.9</v>
      </c>
      <c r="N16" s="2">
        <v>31.5</v>
      </c>
      <c r="O16">
        <v>1</v>
      </c>
      <c r="P16" s="1">
        <f t="shared" si="0"/>
        <v>0.96332863187588136</v>
      </c>
      <c r="Q16" s="1">
        <f t="shared" si="1"/>
        <v>0.70239774330042304</v>
      </c>
      <c r="R16" s="1">
        <f t="shared" si="2"/>
        <v>0.69111424541607891</v>
      </c>
    </row>
    <row r="17" spans="1:18" x14ac:dyDescent="0.2">
      <c r="A17">
        <v>32</v>
      </c>
      <c r="B17" s="2">
        <v>72.5</v>
      </c>
      <c r="C17" s="2">
        <v>7.4</v>
      </c>
      <c r="D17" s="2">
        <v>71.8</v>
      </c>
      <c r="E17" s="2">
        <v>7.2</v>
      </c>
      <c r="F17" s="2">
        <v>51.4</v>
      </c>
      <c r="G17" s="2">
        <v>9.6999999999999993</v>
      </c>
      <c r="H17" s="2">
        <v>50.4</v>
      </c>
      <c r="I17" s="2">
        <v>9.6</v>
      </c>
      <c r="J17" s="2">
        <v>-1</v>
      </c>
      <c r="K17" s="2">
        <v>-29.1</v>
      </c>
      <c r="L17" s="2">
        <v>-1.9</v>
      </c>
      <c r="M17" s="2">
        <v>-30.5</v>
      </c>
      <c r="N17" s="2">
        <v>31.1</v>
      </c>
      <c r="O17">
        <v>1</v>
      </c>
      <c r="P17" s="1">
        <f t="shared" si="0"/>
        <v>0.9903448275862069</v>
      </c>
      <c r="Q17" s="1">
        <f t="shared" si="1"/>
        <v>0.70896551724137924</v>
      </c>
      <c r="R17" s="1">
        <f t="shared" si="2"/>
        <v>0.69517241379310346</v>
      </c>
    </row>
    <row r="18" spans="1:18" x14ac:dyDescent="0.2">
      <c r="A18">
        <v>34</v>
      </c>
      <c r="B18" s="2">
        <v>75.8</v>
      </c>
      <c r="C18" s="2">
        <v>7.9</v>
      </c>
      <c r="D18" s="2">
        <v>74.3</v>
      </c>
      <c r="E18" s="2">
        <v>7.8</v>
      </c>
      <c r="F18" s="2">
        <v>53.1</v>
      </c>
      <c r="G18" s="2">
        <v>10.3</v>
      </c>
      <c r="H18" s="2">
        <v>51.9</v>
      </c>
      <c r="I18" s="2">
        <v>10.1</v>
      </c>
      <c r="J18" s="2">
        <v>-2</v>
      </c>
      <c r="K18" s="2">
        <v>-29.9</v>
      </c>
      <c r="L18" s="2">
        <v>-2.2999999999999998</v>
      </c>
      <c r="M18" s="2">
        <v>-31.5</v>
      </c>
      <c r="N18" s="2">
        <v>30.4</v>
      </c>
      <c r="O18">
        <v>1</v>
      </c>
      <c r="P18" s="1">
        <f t="shared" si="0"/>
        <v>0.98021108179419525</v>
      </c>
      <c r="Q18" s="1">
        <f t="shared" si="1"/>
        <v>0.70052770448548818</v>
      </c>
      <c r="R18" s="1">
        <f t="shared" si="2"/>
        <v>0.68469656992084438</v>
      </c>
    </row>
    <row r="19" spans="1:18" x14ac:dyDescent="0.2">
      <c r="A19">
        <v>36</v>
      </c>
      <c r="B19" s="2">
        <v>78.599999999999994</v>
      </c>
      <c r="C19" s="2">
        <v>8.5</v>
      </c>
      <c r="D19" s="2">
        <v>76.5</v>
      </c>
      <c r="E19" s="2">
        <v>8.6999999999999993</v>
      </c>
      <c r="F19" s="2">
        <v>54.3</v>
      </c>
      <c r="G19" s="2">
        <v>11</v>
      </c>
      <c r="H19" s="2">
        <v>53.6</v>
      </c>
      <c r="I19" s="2">
        <v>10.7</v>
      </c>
      <c r="J19" s="2">
        <v>-2.7</v>
      </c>
      <c r="K19" s="2">
        <v>-30.9</v>
      </c>
      <c r="L19" s="2">
        <v>-1.3</v>
      </c>
      <c r="M19" s="2">
        <v>-31.8</v>
      </c>
      <c r="N19" s="2">
        <v>29.4</v>
      </c>
      <c r="O19">
        <v>1</v>
      </c>
      <c r="P19" s="1">
        <f t="shared" si="0"/>
        <v>0.97328244274809173</v>
      </c>
      <c r="Q19" s="1">
        <f t="shared" si="1"/>
        <v>0.69083969465648853</v>
      </c>
      <c r="R19" s="1">
        <f t="shared" si="2"/>
        <v>0.68193384223918585</v>
      </c>
    </row>
    <row r="20" spans="1:18" x14ac:dyDescent="0.2">
      <c r="A20">
        <v>38</v>
      </c>
      <c r="B20" s="2">
        <v>81.900000000000006</v>
      </c>
      <c r="C20" s="2">
        <v>9.1999999999999993</v>
      </c>
      <c r="D20" s="2">
        <v>81.099999999999994</v>
      </c>
      <c r="E20" s="2">
        <v>8.8000000000000007</v>
      </c>
      <c r="F20" s="2">
        <v>56.3</v>
      </c>
      <c r="G20" s="2">
        <v>11.5</v>
      </c>
      <c r="H20" s="2">
        <v>55.8</v>
      </c>
      <c r="I20" s="2">
        <v>11</v>
      </c>
      <c r="J20" s="2">
        <v>-1</v>
      </c>
      <c r="K20" s="2">
        <v>-31.3</v>
      </c>
      <c r="L20" s="2">
        <v>-0.9</v>
      </c>
      <c r="M20" s="2">
        <v>-31.9</v>
      </c>
      <c r="N20" s="2">
        <v>25</v>
      </c>
      <c r="O20">
        <v>1</v>
      </c>
      <c r="P20" s="1">
        <f t="shared" si="0"/>
        <v>0.99023199023199004</v>
      </c>
      <c r="Q20" s="1">
        <f t="shared" si="1"/>
        <v>0.68742368742368731</v>
      </c>
      <c r="R20" s="1">
        <f t="shared" si="2"/>
        <v>0.68131868131868123</v>
      </c>
    </row>
    <row r="21" spans="1:18" x14ac:dyDescent="0.2">
      <c r="A21">
        <v>40</v>
      </c>
      <c r="B21" s="2">
        <v>85</v>
      </c>
      <c r="C21" s="2">
        <v>9.5</v>
      </c>
      <c r="D21" s="2">
        <v>83.7</v>
      </c>
      <c r="E21" s="2">
        <v>9.3000000000000007</v>
      </c>
      <c r="F21" s="2">
        <v>58.4</v>
      </c>
      <c r="G21" s="2">
        <v>11.8</v>
      </c>
      <c r="H21" s="2">
        <v>57.2</v>
      </c>
      <c r="I21" s="2">
        <v>12</v>
      </c>
      <c r="J21" s="2">
        <v>-1.5</v>
      </c>
      <c r="K21" s="2">
        <v>-31.3</v>
      </c>
      <c r="L21" s="2">
        <v>-2.1</v>
      </c>
      <c r="M21" s="2">
        <v>-32.700000000000003</v>
      </c>
      <c r="N21" s="2">
        <v>24.2</v>
      </c>
      <c r="O21">
        <v>1</v>
      </c>
      <c r="P21" s="1">
        <f t="shared" si="0"/>
        <v>0.98470588235294121</v>
      </c>
      <c r="Q21" s="1">
        <f t="shared" si="1"/>
        <v>0.68705882352941172</v>
      </c>
      <c r="R21" s="1">
        <f t="shared" si="2"/>
        <v>0.67294117647058826</v>
      </c>
    </row>
    <row r="22" spans="1:18" x14ac:dyDescent="0.2">
      <c r="A22">
        <v>60</v>
      </c>
      <c r="B22" s="2">
        <v>114</v>
      </c>
      <c r="C22" s="2">
        <v>16.399999999999999</v>
      </c>
      <c r="D22" s="2">
        <v>110.8</v>
      </c>
      <c r="E22" s="2">
        <v>15.9</v>
      </c>
      <c r="F22" s="2">
        <v>72.599999999999994</v>
      </c>
      <c r="G22" s="2">
        <v>18.399999999999999</v>
      </c>
      <c r="H22" s="2">
        <v>72</v>
      </c>
      <c r="I22" s="2">
        <v>18</v>
      </c>
      <c r="J22" s="2">
        <v>-2.8</v>
      </c>
      <c r="K22" s="2">
        <v>-36.299999999999997</v>
      </c>
      <c r="L22" s="2">
        <v>-0.8</v>
      </c>
      <c r="M22" s="2">
        <v>-36.799999999999997</v>
      </c>
      <c r="N22" s="2">
        <v>12.2</v>
      </c>
      <c r="O22">
        <v>1</v>
      </c>
      <c r="P22" s="1">
        <f t="shared" si="0"/>
        <v>0.97192982456140353</v>
      </c>
      <c r="Q22" s="1">
        <f t="shared" si="1"/>
        <v>0.63684210526315788</v>
      </c>
      <c r="R22" s="1">
        <f t="shared" si="2"/>
        <v>0.63157894736842102</v>
      </c>
    </row>
    <row r="23" spans="1:18" x14ac:dyDescent="0.2">
      <c r="A23">
        <v>80</v>
      </c>
      <c r="B23" s="2">
        <v>137</v>
      </c>
      <c r="C23" s="2">
        <v>24.1</v>
      </c>
      <c r="D23" s="2">
        <v>136.5</v>
      </c>
      <c r="E23" s="2">
        <v>23.6</v>
      </c>
      <c r="F23" s="2">
        <v>84.8</v>
      </c>
      <c r="G23" s="2">
        <v>24.4</v>
      </c>
      <c r="H23" s="2">
        <v>84.5</v>
      </c>
      <c r="I23" s="2">
        <v>24.6</v>
      </c>
      <c r="J23" s="2">
        <v>-0.4</v>
      </c>
      <c r="K23" s="2">
        <v>-38.1</v>
      </c>
      <c r="L23" s="2">
        <v>-0.4</v>
      </c>
      <c r="M23" s="2">
        <v>-38.299999999999997</v>
      </c>
      <c r="N23" s="2">
        <v>1.2</v>
      </c>
      <c r="O23">
        <v>1</v>
      </c>
      <c r="P23" s="1">
        <f t="shared" si="0"/>
        <v>0.9963503649635036</v>
      </c>
      <c r="Q23" s="1">
        <f t="shared" si="1"/>
        <v>0.618978102189781</v>
      </c>
      <c r="R23" s="1">
        <f t="shared" si="2"/>
        <v>0.61678832116788318</v>
      </c>
    </row>
    <row r="24" spans="1:18" x14ac:dyDescent="0.2">
      <c r="A24">
        <v>100</v>
      </c>
      <c r="B24" s="2">
        <v>160.5</v>
      </c>
      <c r="C24" s="2">
        <v>33.6</v>
      </c>
      <c r="D24" s="2">
        <v>158.69999999999999</v>
      </c>
      <c r="E24" s="2">
        <v>32.5</v>
      </c>
      <c r="F24" s="2">
        <v>97.2</v>
      </c>
      <c r="G24" s="2">
        <v>32.200000000000003</v>
      </c>
      <c r="H24" s="2">
        <v>95.3</v>
      </c>
      <c r="I24" s="2">
        <v>31.7</v>
      </c>
      <c r="J24" s="2">
        <v>-1.1000000000000001</v>
      </c>
      <c r="K24" s="2">
        <v>-39.4</v>
      </c>
      <c r="L24" s="2">
        <v>-2</v>
      </c>
      <c r="M24" s="2">
        <v>-40.6</v>
      </c>
      <c r="N24" s="2">
        <v>-4.2</v>
      </c>
      <c r="O24">
        <v>1</v>
      </c>
      <c r="P24" s="1">
        <f t="shared" si="0"/>
        <v>0.98878504672897194</v>
      </c>
      <c r="Q24" s="1">
        <f t="shared" si="1"/>
        <v>0.60560747663551406</v>
      </c>
      <c r="R24" s="1">
        <f t="shared" si="2"/>
        <v>0.5937694704049844</v>
      </c>
    </row>
    <row r="25" spans="1:18" x14ac:dyDescent="0.2">
      <c r="A25">
        <v>120</v>
      </c>
      <c r="B25" s="2">
        <v>183.9</v>
      </c>
      <c r="C25" s="2">
        <v>43.3</v>
      </c>
      <c r="D25" s="2">
        <v>183.5</v>
      </c>
      <c r="E25" s="2">
        <v>43.6</v>
      </c>
      <c r="F25" s="2">
        <v>107.2</v>
      </c>
      <c r="G25" s="2">
        <v>40</v>
      </c>
      <c r="H25" s="2">
        <v>107.2</v>
      </c>
      <c r="I25" s="2">
        <v>40</v>
      </c>
      <c r="J25" s="2">
        <v>-0.2</v>
      </c>
      <c r="K25" s="2">
        <v>-41.7</v>
      </c>
      <c r="L25" s="2">
        <v>0</v>
      </c>
      <c r="M25" s="2">
        <v>-41.7</v>
      </c>
      <c r="N25" s="2">
        <v>-7.6</v>
      </c>
      <c r="O25">
        <v>1</v>
      </c>
      <c r="P25" s="1">
        <f t="shared" si="0"/>
        <v>0.99782490483958675</v>
      </c>
      <c r="Q25" s="1">
        <f t="shared" si="1"/>
        <v>0.58292550299075585</v>
      </c>
      <c r="R25" s="1">
        <f t="shared" si="2"/>
        <v>0.58292550299075585</v>
      </c>
    </row>
    <row r="26" spans="1:18" x14ac:dyDescent="0.2">
      <c r="A26">
        <v>140</v>
      </c>
      <c r="B26" s="2">
        <v>202.4</v>
      </c>
      <c r="C26" s="2">
        <v>53.2</v>
      </c>
      <c r="D26" s="2">
        <v>202.1</v>
      </c>
      <c r="E26" s="2">
        <v>53</v>
      </c>
      <c r="F26" s="2">
        <v>116.4</v>
      </c>
      <c r="G26" s="2">
        <v>47.7</v>
      </c>
      <c r="H26" s="2">
        <v>115.5</v>
      </c>
      <c r="I26" s="2">
        <v>47.5</v>
      </c>
      <c r="J26" s="2">
        <v>-0.1</v>
      </c>
      <c r="K26" s="2">
        <v>-42.5</v>
      </c>
      <c r="L26" s="2">
        <v>-0.8</v>
      </c>
      <c r="M26" s="2">
        <v>-42.9</v>
      </c>
      <c r="N26" s="2">
        <v>-10.3</v>
      </c>
      <c r="O26">
        <v>1</v>
      </c>
      <c r="P26" s="1">
        <f t="shared" si="0"/>
        <v>0.99851778656126478</v>
      </c>
      <c r="Q26" s="1">
        <f t="shared" si="1"/>
        <v>0.57509881422924902</v>
      </c>
      <c r="R26" s="1">
        <f t="shared" si="2"/>
        <v>0.57065217391304346</v>
      </c>
    </row>
    <row r="27" spans="1:18" x14ac:dyDescent="0.2">
      <c r="A27">
        <v>160</v>
      </c>
      <c r="B27" s="2">
        <v>222.6</v>
      </c>
      <c r="C27" s="2">
        <v>65.099999999999994</v>
      </c>
      <c r="D27" s="2">
        <v>221</v>
      </c>
      <c r="E27" s="2">
        <v>64.599999999999994</v>
      </c>
      <c r="F27" s="2">
        <v>124.7</v>
      </c>
      <c r="G27" s="2">
        <v>55.7</v>
      </c>
      <c r="H27" s="2">
        <v>123.8</v>
      </c>
      <c r="I27" s="2">
        <v>54.8</v>
      </c>
      <c r="J27" s="2">
        <v>-0.7</v>
      </c>
      <c r="K27" s="2">
        <v>-44</v>
      </c>
      <c r="L27" s="2">
        <v>-0.7</v>
      </c>
      <c r="M27" s="2">
        <v>-44.4</v>
      </c>
      <c r="N27" s="2">
        <v>-14.4</v>
      </c>
      <c r="O27">
        <v>1</v>
      </c>
      <c r="P27" s="1">
        <f t="shared" si="0"/>
        <v>0.99281221922731355</v>
      </c>
      <c r="Q27" s="1">
        <f t="shared" si="1"/>
        <v>0.56019766397124893</v>
      </c>
      <c r="R27" s="1">
        <f t="shared" si="2"/>
        <v>0.55615453728661279</v>
      </c>
    </row>
    <row r="28" spans="1:18" x14ac:dyDescent="0.2">
      <c r="A28">
        <v>180</v>
      </c>
      <c r="B28" s="2">
        <v>240.9</v>
      </c>
      <c r="C28" s="2">
        <v>77.599999999999994</v>
      </c>
      <c r="D28" s="2">
        <v>241</v>
      </c>
      <c r="E28" s="2">
        <v>76.900000000000006</v>
      </c>
      <c r="F28" s="2">
        <v>132.80000000000001</v>
      </c>
      <c r="G28" s="2">
        <v>62.9</v>
      </c>
      <c r="H28" s="2">
        <v>132.9</v>
      </c>
      <c r="I28" s="2">
        <v>64</v>
      </c>
      <c r="J28" s="2">
        <v>0</v>
      </c>
      <c r="K28" s="2">
        <v>-44.9</v>
      </c>
      <c r="L28" s="2">
        <v>0.1</v>
      </c>
      <c r="M28" s="2">
        <v>-44.8</v>
      </c>
      <c r="N28" s="2">
        <v>-18.899999999999999</v>
      </c>
      <c r="O28">
        <v>1</v>
      </c>
      <c r="P28" s="1">
        <f t="shared" si="0"/>
        <v>1.0004151100041512</v>
      </c>
      <c r="Q28" s="1">
        <f t="shared" si="1"/>
        <v>0.55126608551266087</v>
      </c>
      <c r="R28" s="1">
        <f t="shared" si="2"/>
        <v>0.55168119551681194</v>
      </c>
    </row>
    <row r="29" spans="1:18" x14ac:dyDescent="0.2">
      <c r="A29">
        <v>200</v>
      </c>
      <c r="B29" s="2">
        <v>258</v>
      </c>
      <c r="C29" s="2">
        <v>89.4</v>
      </c>
      <c r="D29" s="2">
        <v>258.5</v>
      </c>
      <c r="E29" s="2">
        <v>89.6</v>
      </c>
      <c r="F29" s="2">
        <v>141.5</v>
      </c>
      <c r="G29" s="2">
        <v>72.8</v>
      </c>
      <c r="H29" s="2">
        <v>140.1</v>
      </c>
      <c r="I29" s="2">
        <v>72.3</v>
      </c>
      <c r="J29" s="2">
        <v>0.2</v>
      </c>
      <c r="K29" s="2">
        <v>-45.2</v>
      </c>
      <c r="L29" s="2">
        <v>-1</v>
      </c>
      <c r="M29" s="2">
        <v>-45.7</v>
      </c>
      <c r="N29" s="2">
        <v>-18.600000000000001</v>
      </c>
      <c r="O29">
        <v>1</v>
      </c>
      <c r="P29" s="1">
        <f t="shared" si="0"/>
        <v>1.001937984496124</v>
      </c>
      <c r="Q29" s="1">
        <f t="shared" si="1"/>
        <v>0.54844961240310075</v>
      </c>
      <c r="R29" s="1">
        <f t="shared" si="2"/>
        <v>0.5430232558139535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F0823-5CD8-3940-ADAD-49121E744578}">
  <dimension ref="A1:R33"/>
  <sheetViews>
    <sheetView workbookViewId="0">
      <selection activeCell="H34" sqref="H34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 s="2">
        <v>22.5</v>
      </c>
      <c r="C2" s="2">
        <v>2.9</v>
      </c>
      <c r="D2" s="2">
        <v>16.399999999999999</v>
      </c>
      <c r="E2" s="2">
        <v>2.7</v>
      </c>
      <c r="F2" s="2">
        <v>24.6</v>
      </c>
      <c r="G2" s="2">
        <v>4</v>
      </c>
      <c r="H2" s="2">
        <v>14.6</v>
      </c>
      <c r="I2" s="2">
        <v>3.6</v>
      </c>
      <c r="J2" s="2">
        <v>-27.1</v>
      </c>
      <c r="K2" s="2">
        <v>9.3000000000000007</v>
      </c>
      <c r="L2" s="2">
        <v>-40.700000000000003</v>
      </c>
      <c r="M2" s="2">
        <v>-35.1</v>
      </c>
      <c r="N2" s="2">
        <v>37.9</v>
      </c>
      <c r="O2">
        <v>1</v>
      </c>
      <c r="P2" s="1">
        <f>D2/B2</f>
        <v>0.72888888888888881</v>
      </c>
      <c r="Q2" s="1">
        <f>F2/B2</f>
        <v>1.0933333333333335</v>
      </c>
      <c r="R2" s="1">
        <f t="shared" ref="R2:R29" si="0">H2/B2</f>
        <v>0.64888888888888885</v>
      </c>
    </row>
    <row r="3" spans="1:18" x14ac:dyDescent="0.2">
      <c r="A3">
        <v>4</v>
      </c>
      <c r="B3" s="2">
        <v>49.8</v>
      </c>
      <c r="C3" s="2">
        <v>4.2</v>
      </c>
      <c r="D3" s="2">
        <v>44</v>
      </c>
      <c r="E3" s="2">
        <v>4.0999999999999996</v>
      </c>
      <c r="F3" s="2">
        <v>48.6</v>
      </c>
      <c r="G3" s="2">
        <v>5.5</v>
      </c>
      <c r="H3" s="2">
        <v>36.299999999999997</v>
      </c>
      <c r="I3" s="2">
        <v>4.9000000000000004</v>
      </c>
      <c r="J3" s="2">
        <v>-11.6</v>
      </c>
      <c r="K3" s="2">
        <v>-2.4</v>
      </c>
      <c r="L3" s="2">
        <v>-25.3</v>
      </c>
      <c r="M3" s="2">
        <v>-27.1</v>
      </c>
      <c r="N3" s="2">
        <v>31</v>
      </c>
      <c r="O3">
        <v>1</v>
      </c>
      <c r="P3" s="1">
        <f t="shared" ref="P3:P29" si="1">D3/B3</f>
        <v>0.88353413654618473</v>
      </c>
      <c r="Q3" s="1">
        <f t="shared" ref="Q3:Q29" si="2">F3/B3</f>
        <v>0.97590361445783136</v>
      </c>
      <c r="R3" s="1">
        <f t="shared" si="0"/>
        <v>0.72891566265060237</v>
      </c>
    </row>
    <row r="4" spans="1:18" x14ac:dyDescent="0.2">
      <c r="A4">
        <v>6</v>
      </c>
      <c r="B4" s="2">
        <v>73.900000000000006</v>
      </c>
      <c r="C4" s="2">
        <v>5.7</v>
      </c>
      <c r="D4" s="2">
        <v>68.099999999999994</v>
      </c>
      <c r="E4" s="2">
        <v>5.6</v>
      </c>
      <c r="F4" s="2">
        <v>67.2</v>
      </c>
      <c r="G4" s="2">
        <v>6.6</v>
      </c>
      <c r="H4" s="2">
        <v>57.7</v>
      </c>
      <c r="I4" s="2">
        <v>6.1</v>
      </c>
      <c r="J4" s="2">
        <v>-7.8</v>
      </c>
      <c r="K4" s="2">
        <v>-9.1</v>
      </c>
      <c r="L4" s="2">
        <v>-14.1</v>
      </c>
      <c r="M4" s="2">
        <v>-21.9</v>
      </c>
      <c r="N4" s="2">
        <v>15.8</v>
      </c>
      <c r="O4">
        <v>1</v>
      </c>
      <c r="P4" s="1">
        <f t="shared" si="1"/>
        <v>0.92151556156968861</v>
      </c>
      <c r="Q4" s="1">
        <f t="shared" si="2"/>
        <v>0.90933694181326108</v>
      </c>
      <c r="R4" s="1">
        <f t="shared" si="0"/>
        <v>0.78078484438430307</v>
      </c>
    </row>
    <row r="5" spans="1:18" x14ac:dyDescent="0.2">
      <c r="A5">
        <v>8</v>
      </c>
      <c r="B5" s="2">
        <v>92.2</v>
      </c>
      <c r="C5" s="2">
        <v>7.4</v>
      </c>
      <c r="D5" s="2">
        <v>88.3</v>
      </c>
      <c r="E5" s="2">
        <v>7.1</v>
      </c>
      <c r="F5" s="2">
        <v>82</v>
      </c>
      <c r="G5" s="2">
        <v>8</v>
      </c>
      <c r="H5" s="2">
        <v>76</v>
      </c>
      <c r="I5" s="2">
        <v>7.6</v>
      </c>
      <c r="J5" s="2">
        <v>-4.2</v>
      </c>
      <c r="K5" s="2">
        <v>-11.1</v>
      </c>
      <c r="L5" s="2">
        <v>-7.3</v>
      </c>
      <c r="M5" s="2">
        <v>-17.600000000000001</v>
      </c>
      <c r="N5" s="2">
        <v>8.1</v>
      </c>
      <c r="O5">
        <v>1</v>
      </c>
      <c r="P5" s="1">
        <f t="shared" si="1"/>
        <v>0.95770065075921906</v>
      </c>
      <c r="Q5" s="1">
        <f t="shared" si="2"/>
        <v>0.88937093275488066</v>
      </c>
      <c r="R5" s="1">
        <f t="shared" si="0"/>
        <v>0.824295010845987</v>
      </c>
    </row>
    <row r="6" spans="1:18" x14ac:dyDescent="0.2">
      <c r="A6">
        <v>10</v>
      </c>
      <c r="B6" s="2">
        <v>106.5</v>
      </c>
      <c r="C6" s="2">
        <v>8.6</v>
      </c>
      <c r="D6" s="2">
        <v>103.9</v>
      </c>
      <c r="E6" s="2">
        <v>8.4</v>
      </c>
      <c r="F6" s="2">
        <v>97.1</v>
      </c>
      <c r="G6" s="2">
        <v>9.5</v>
      </c>
      <c r="H6" s="2">
        <v>88.8</v>
      </c>
      <c r="I6" s="2">
        <v>8.6999999999999993</v>
      </c>
      <c r="J6" s="2">
        <v>-2.4</v>
      </c>
      <c r="K6" s="2">
        <v>-8.8000000000000007</v>
      </c>
      <c r="L6" s="2">
        <v>-8.5</v>
      </c>
      <c r="M6" s="2">
        <v>-16.600000000000001</v>
      </c>
      <c r="N6" s="2">
        <v>10.5</v>
      </c>
      <c r="O6">
        <v>1</v>
      </c>
      <c r="P6" s="1">
        <f t="shared" si="1"/>
        <v>0.97558685446009397</v>
      </c>
      <c r="Q6" s="1">
        <f t="shared" si="2"/>
        <v>0.9117370892018779</v>
      </c>
      <c r="R6" s="1">
        <f t="shared" si="0"/>
        <v>0.83380281690140845</v>
      </c>
    </row>
    <row r="7" spans="1:18" x14ac:dyDescent="0.2">
      <c r="A7">
        <v>12</v>
      </c>
      <c r="B7" s="2">
        <v>121.8</v>
      </c>
      <c r="C7" s="2">
        <v>10</v>
      </c>
      <c r="D7" s="2">
        <v>116</v>
      </c>
      <c r="E7" s="2">
        <v>9.9</v>
      </c>
      <c r="F7" s="2">
        <v>107.7</v>
      </c>
      <c r="G7" s="2">
        <v>11</v>
      </c>
      <c r="H7" s="2">
        <v>101.8</v>
      </c>
      <c r="I7" s="2">
        <v>10.1</v>
      </c>
      <c r="J7" s="2">
        <v>-4.8</v>
      </c>
      <c r="K7" s="2">
        <v>-11.6</v>
      </c>
      <c r="L7" s="2">
        <v>-5.5</v>
      </c>
      <c r="M7" s="2">
        <v>-16.399999999999999</v>
      </c>
      <c r="N7" s="2">
        <v>10</v>
      </c>
      <c r="O7">
        <v>1</v>
      </c>
      <c r="P7" s="1">
        <f t="shared" si="1"/>
        <v>0.95238095238095244</v>
      </c>
      <c r="Q7" s="1">
        <f t="shared" si="2"/>
        <v>0.88423645320197053</v>
      </c>
      <c r="R7" s="1">
        <f t="shared" si="0"/>
        <v>0.83579638752052543</v>
      </c>
    </row>
    <row r="8" spans="1:18" x14ac:dyDescent="0.2">
      <c r="A8">
        <v>14</v>
      </c>
      <c r="B8" s="2">
        <v>134.19999999999999</v>
      </c>
      <c r="C8" s="2">
        <v>11.4</v>
      </c>
      <c r="D8" s="2">
        <v>128</v>
      </c>
      <c r="E8" s="2">
        <v>11.4</v>
      </c>
      <c r="F8" s="2">
        <v>118.2</v>
      </c>
      <c r="G8" s="2">
        <v>12.1</v>
      </c>
      <c r="H8" s="2">
        <v>112.2</v>
      </c>
      <c r="I8" s="2">
        <v>11.6</v>
      </c>
      <c r="J8" s="2">
        <v>-4.5999999999999996</v>
      </c>
      <c r="K8" s="2">
        <v>-11.9</v>
      </c>
      <c r="L8" s="2">
        <v>-5.0999999999999996</v>
      </c>
      <c r="M8" s="2">
        <v>-16.399999999999999</v>
      </c>
      <c r="N8" s="2">
        <v>6.1</v>
      </c>
      <c r="O8">
        <v>1</v>
      </c>
      <c r="P8" s="1">
        <f t="shared" si="1"/>
        <v>0.95380029806259325</v>
      </c>
      <c r="Q8" s="1">
        <f t="shared" si="2"/>
        <v>0.88077496274217593</v>
      </c>
      <c r="R8" s="1">
        <f t="shared" si="0"/>
        <v>0.83606557377049184</v>
      </c>
    </row>
    <row r="9" spans="1:18" x14ac:dyDescent="0.2">
      <c r="A9">
        <v>16</v>
      </c>
      <c r="B9" s="2">
        <v>145.80000000000001</v>
      </c>
      <c r="C9" s="2">
        <v>13.2</v>
      </c>
      <c r="D9" s="2">
        <v>140.1</v>
      </c>
      <c r="E9" s="2">
        <v>13</v>
      </c>
      <c r="F9" s="2">
        <v>126.8</v>
      </c>
      <c r="G9" s="2">
        <v>13.8</v>
      </c>
      <c r="H9" s="2">
        <v>121.6</v>
      </c>
      <c r="I9" s="2">
        <v>13</v>
      </c>
      <c r="J9" s="2">
        <v>-3.9</v>
      </c>
      <c r="K9" s="2">
        <v>-13</v>
      </c>
      <c r="L9" s="2">
        <v>-4.0999999999999996</v>
      </c>
      <c r="M9" s="2">
        <v>-16.600000000000001</v>
      </c>
      <c r="N9" s="2">
        <v>4.5</v>
      </c>
      <c r="O9">
        <v>1</v>
      </c>
      <c r="P9" s="1">
        <f t="shared" si="1"/>
        <v>0.96090534979423858</v>
      </c>
      <c r="Q9" s="1">
        <f t="shared" si="2"/>
        <v>0.86968449931412883</v>
      </c>
      <c r="R9" s="1">
        <f t="shared" si="0"/>
        <v>0.83401920438957466</v>
      </c>
    </row>
    <row r="10" spans="1:18" x14ac:dyDescent="0.2">
      <c r="A10">
        <v>18</v>
      </c>
      <c r="B10" s="2">
        <v>155</v>
      </c>
      <c r="C10" s="2">
        <v>14.6</v>
      </c>
      <c r="D10" s="2">
        <v>147.80000000000001</v>
      </c>
      <c r="E10" s="2">
        <v>14.2</v>
      </c>
      <c r="F10" s="2">
        <v>134.19999999999999</v>
      </c>
      <c r="G10" s="2">
        <v>15.1</v>
      </c>
      <c r="H10" s="2">
        <v>128.30000000000001</v>
      </c>
      <c r="I10" s="2">
        <v>14.3</v>
      </c>
      <c r="J10" s="2">
        <v>-4.5999999999999996</v>
      </c>
      <c r="K10" s="2">
        <v>-13.4</v>
      </c>
      <c r="L10" s="2">
        <v>-4.4000000000000004</v>
      </c>
      <c r="M10" s="2">
        <v>-17.2</v>
      </c>
      <c r="N10" s="2">
        <v>3.4</v>
      </c>
      <c r="O10">
        <v>1</v>
      </c>
      <c r="P10" s="1">
        <f t="shared" si="1"/>
        <v>0.95354838709677425</v>
      </c>
      <c r="Q10" s="1">
        <f t="shared" si="2"/>
        <v>0.86580645161290315</v>
      </c>
      <c r="R10" s="1">
        <f t="shared" si="0"/>
        <v>0.82774193548387109</v>
      </c>
    </row>
    <row r="11" spans="1:18" x14ac:dyDescent="0.2">
      <c r="A11">
        <v>20</v>
      </c>
      <c r="B11" s="2">
        <v>164.8</v>
      </c>
      <c r="C11" s="2">
        <v>16.100000000000001</v>
      </c>
      <c r="D11" s="2">
        <v>160.19999999999999</v>
      </c>
      <c r="E11" s="2">
        <v>15.7</v>
      </c>
      <c r="F11" s="2">
        <v>142.6</v>
      </c>
      <c r="G11" s="2">
        <v>16.7</v>
      </c>
      <c r="H11" s="2">
        <v>135.6</v>
      </c>
      <c r="I11" s="2">
        <v>15.9</v>
      </c>
      <c r="J11" s="2">
        <v>-2.8</v>
      </c>
      <c r="K11" s="2">
        <v>-13.5</v>
      </c>
      <c r="L11" s="2">
        <v>-4.9000000000000004</v>
      </c>
      <c r="M11" s="2">
        <v>-17.7</v>
      </c>
      <c r="N11" s="2">
        <v>3.7</v>
      </c>
      <c r="O11">
        <v>1</v>
      </c>
      <c r="P11" s="1">
        <f t="shared" si="1"/>
        <v>0.97208737864077654</v>
      </c>
      <c r="Q11" s="1">
        <f t="shared" si="2"/>
        <v>0.86529126213592222</v>
      </c>
      <c r="R11" s="1">
        <f t="shared" si="0"/>
        <v>0.82281553398058238</v>
      </c>
    </row>
    <row r="12" spans="1:18" x14ac:dyDescent="0.2">
      <c r="A12">
        <v>22</v>
      </c>
      <c r="B12" s="2">
        <v>175.9</v>
      </c>
      <c r="C12" s="2">
        <v>17.7</v>
      </c>
      <c r="D12" s="2">
        <v>170</v>
      </c>
      <c r="E12" s="2">
        <v>17.399999999999999</v>
      </c>
      <c r="F12" s="2">
        <v>151.6</v>
      </c>
      <c r="G12" s="2">
        <v>18.8</v>
      </c>
      <c r="H12" s="2">
        <v>145.5</v>
      </c>
      <c r="I12" s="2">
        <v>17.7</v>
      </c>
      <c r="J12" s="2">
        <v>-3.4</v>
      </c>
      <c r="K12" s="2">
        <v>-13.8</v>
      </c>
      <c r="L12" s="2">
        <v>-4</v>
      </c>
      <c r="M12" s="2">
        <v>-17.3</v>
      </c>
      <c r="N12" s="2">
        <v>6.2</v>
      </c>
      <c r="O12">
        <v>1</v>
      </c>
      <c r="P12" s="1">
        <f t="shared" si="1"/>
        <v>0.96645821489482653</v>
      </c>
      <c r="Q12" s="1">
        <f t="shared" si="2"/>
        <v>0.8618533257532689</v>
      </c>
      <c r="R12" s="1">
        <f t="shared" si="0"/>
        <v>0.82717453098351335</v>
      </c>
    </row>
    <row r="13" spans="1:18" x14ac:dyDescent="0.2">
      <c r="A13">
        <v>24</v>
      </c>
      <c r="B13" s="2">
        <v>186.1</v>
      </c>
      <c r="C13" s="2">
        <v>19.7</v>
      </c>
      <c r="D13" s="2">
        <v>180.7</v>
      </c>
      <c r="E13" s="2">
        <v>19.3</v>
      </c>
      <c r="F13" s="2">
        <v>158.9</v>
      </c>
      <c r="G13" s="2">
        <v>20.100000000000001</v>
      </c>
      <c r="H13" s="2">
        <v>152.6</v>
      </c>
      <c r="I13" s="2">
        <v>19.100000000000001</v>
      </c>
      <c r="J13" s="2">
        <v>-2.9</v>
      </c>
      <c r="K13" s="2">
        <v>-14.6</v>
      </c>
      <c r="L13" s="2">
        <v>-4</v>
      </c>
      <c r="M13" s="2">
        <v>-18</v>
      </c>
      <c r="N13" s="2">
        <v>2</v>
      </c>
      <c r="O13">
        <v>1</v>
      </c>
      <c r="P13" s="1">
        <f t="shared" si="1"/>
        <v>0.97098334228909189</v>
      </c>
      <c r="Q13" s="1">
        <f t="shared" si="2"/>
        <v>0.8538420204191296</v>
      </c>
      <c r="R13" s="1">
        <f t="shared" si="0"/>
        <v>0.81998925308973669</v>
      </c>
    </row>
    <row r="14" spans="1:18" x14ac:dyDescent="0.2">
      <c r="A14">
        <v>26</v>
      </c>
      <c r="B14" s="2">
        <v>194.5</v>
      </c>
      <c r="C14" s="2">
        <v>21.5</v>
      </c>
      <c r="D14" s="2">
        <v>187.8</v>
      </c>
      <c r="E14" s="2">
        <v>21.1</v>
      </c>
      <c r="F14" s="2">
        <v>165.9</v>
      </c>
      <c r="G14" s="2">
        <v>21.8</v>
      </c>
      <c r="H14" s="2">
        <v>159</v>
      </c>
      <c r="I14" s="2">
        <v>20.6</v>
      </c>
      <c r="J14" s="2">
        <v>-3.4</v>
      </c>
      <c r="K14" s="2">
        <v>-14.7</v>
      </c>
      <c r="L14" s="2">
        <v>-4.2</v>
      </c>
      <c r="M14" s="2">
        <v>-18.3</v>
      </c>
      <c r="N14" s="2">
        <v>1.4</v>
      </c>
      <c r="O14">
        <v>1</v>
      </c>
      <c r="P14" s="1">
        <f t="shared" si="1"/>
        <v>0.96555269922879183</v>
      </c>
      <c r="Q14" s="1">
        <f t="shared" si="2"/>
        <v>0.85295629820051422</v>
      </c>
      <c r="R14" s="1">
        <f t="shared" si="0"/>
        <v>0.81748071979434445</v>
      </c>
    </row>
    <row r="15" spans="1:18" x14ac:dyDescent="0.2">
      <c r="A15">
        <v>28</v>
      </c>
      <c r="B15" s="2">
        <v>204.6</v>
      </c>
      <c r="C15" s="2">
        <v>23.2</v>
      </c>
      <c r="D15" s="2">
        <v>199.1</v>
      </c>
      <c r="E15" s="2">
        <v>23.1</v>
      </c>
      <c r="F15" s="2">
        <v>173</v>
      </c>
      <c r="G15" s="2">
        <v>24</v>
      </c>
      <c r="H15" s="2">
        <v>166.1</v>
      </c>
      <c r="I15" s="2">
        <v>22.7</v>
      </c>
      <c r="J15" s="2">
        <v>-2.7</v>
      </c>
      <c r="K15" s="2">
        <v>-15.4</v>
      </c>
      <c r="L15" s="2">
        <v>-4</v>
      </c>
      <c r="M15" s="2">
        <v>-18.8</v>
      </c>
      <c r="N15" s="2">
        <v>3.4</v>
      </c>
      <c r="O15">
        <v>1</v>
      </c>
      <c r="P15" s="1">
        <f t="shared" si="1"/>
        <v>0.9731182795698925</v>
      </c>
      <c r="Q15" s="1">
        <f t="shared" si="2"/>
        <v>0.84555229716520042</v>
      </c>
      <c r="R15" s="1">
        <f t="shared" si="0"/>
        <v>0.81182795698924726</v>
      </c>
    </row>
    <row r="16" spans="1:18" x14ac:dyDescent="0.2">
      <c r="A16">
        <v>30</v>
      </c>
      <c r="B16" s="2">
        <v>215.3</v>
      </c>
      <c r="C16" s="2">
        <v>25.7</v>
      </c>
      <c r="D16" s="2">
        <v>208.8</v>
      </c>
      <c r="E16" s="2">
        <v>25.2</v>
      </c>
      <c r="F16" s="2">
        <v>181.1</v>
      </c>
      <c r="G16" s="2">
        <v>26.1</v>
      </c>
      <c r="H16" s="2">
        <v>176</v>
      </c>
      <c r="I16" s="2">
        <v>24.8</v>
      </c>
      <c r="J16" s="2">
        <v>-3</v>
      </c>
      <c r="K16" s="2">
        <v>-15.9</v>
      </c>
      <c r="L16" s="2">
        <v>-2.8</v>
      </c>
      <c r="M16" s="2">
        <v>-18.3</v>
      </c>
      <c r="N16" s="2">
        <v>1.6</v>
      </c>
      <c r="O16">
        <v>1</v>
      </c>
      <c r="P16" s="1">
        <f t="shared" si="1"/>
        <v>0.96980956804458895</v>
      </c>
      <c r="Q16" s="1">
        <f t="shared" si="2"/>
        <v>0.8411518810961448</v>
      </c>
      <c r="R16" s="1">
        <f t="shared" si="0"/>
        <v>0.81746400371574546</v>
      </c>
    </row>
    <row r="17" spans="1:18" x14ac:dyDescent="0.2">
      <c r="A17">
        <v>32</v>
      </c>
      <c r="B17" s="2">
        <v>225.9</v>
      </c>
      <c r="C17" s="2">
        <v>28</v>
      </c>
      <c r="D17" s="2">
        <v>217.8</v>
      </c>
      <c r="E17" s="2">
        <v>27.7</v>
      </c>
      <c r="F17" s="2">
        <v>187.8</v>
      </c>
      <c r="G17" s="2">
        <v>27.8</v>
      </c>
      <c r="H17" s="2">
        <v>181.1</v>
      </c>
      <c r="I17" s="2">
        <v>26.6</v>
      </c>
      <c r="J17" s="2">
        <v>-3.6</v>
      </c>
      <c r="K17" s="2">
        <v>-16.899999999999999</v>
      </c>
      <c r="L17" s="2">
        <v>-3.6</v>
      </c>
      <c r="M17" s="2">
        <v>-19.8</v>
      </c>
      <c r="N17" s="2">
        <v>-0.7</v>
      </c>
      <c r="O17">
        <v>1</v>
      </c>
      <c r="P17" s="1">
        <f t="shared" si="1"/>
        <v>0.96414342629482075</v>
      </c>
      <c r="Q17" s="1">
        <f t="shared" si="2"/>
        <v>0.83134130146082341</v>
      </c>
      <c r="R17" s="1">
        <f t="shared" si="0"/>
        <v>0.80168216024789729</v>
      </c>
    </row>
    <row r="18" spans="1:18" x14ac:dyDescent="0.2">
      <c r="A18">
        <v>34</v>
      </c>
      <c r="B18" s="2">
        <v>236.6</v>
      </c>
      <c r="C18" s="2">
        <v>30.2</v>
      </c>
      <c r="D18" s="2">
        <v>228.4</v>
      </c>
      <c r="E18" s="2">
        <v>29.5</v>
      </c>
      <c r="F18" s="2">
        <v>194.6</v>
      </c>
      <c r="G18" s="2">
        <v>30.7</v>
      </c>
      <c r="H18" s="2">
        <v>187.9</v>
      </c>
      <c r="I18" s="2">
        <v>29.1</v>
      </c>
      <c r="J18" s="2">
        <v>-3.5</v>
      </c>
      <c r="K18" s="2">
        <v>-17.8</v>
      </c>
      <c r="L18" s="2">
        <v>-3.4</v>
      </c>
      <c r="M18" s="2">
        <v>-20.6</v>
      </c>
      <c r="N18" s="2">
        <v>1.7</v>
      </c>
      <c r="O18">
        <v>1</v>
      </c>
      <c r="P18" s="1">
        <f t="shared" si="1"/>
        <v>0.9653423499577346</v>
      </c>
      <c r="Q18" s="1">
        <f t="shared" si="2"/>
        <v>0.8224852071005917</v>
      </c>
      <c r="R18" s="1">
        <f t="shared" si="0"/>
        <v>0.7941673710904481</v>
      </c>
    </row>
    <row r="19" spans="1:18" x14ac:dyDescent="0.2">
      <c r="A19">
        <v>36</v>
      </c>
      <c r="B19" s="2">
        <v>245.5</v>
      </c>
      <c r="C19" s="2">
        <v>32.299999999999997</v>
      </c>
      <c r="D19" s="2">
        <v>237.7</v>
      </c>
      <c r="E19" s="2">
        <v>32</v>
      </c>
      <c r="F19" s="2">
        <v>201.8</v>
      </c>
      <c r="G19" s="2">
        <v>32.700000000000003</v>
      </c>
      <c r="H19" s="2">
        <v>195.1</v>
      </c>
      <c r="I19" s="2">
        <v>31.2</v>
      </c>
      <c r="J19" s="2">
        <v>-3.2</v>
      </c>
      <c r="K19" s="2">
        <v>-17.8</v>
      </c>
      <c r="L19" s="2">
        <v>-3.3</v>
      </c>
      <c r="M19" s="2">
        <v>-20.5</v>
      </c>
      <c r="N19" s="2">
        <v>1.2</v>
      </c>
      <c r="O19">
        <v>1</v>
      </c>
      <c r="P19" s="1">
        <f t="shared" si="1"/>
        <v>0.96822810590631359</v>
      </c>
      <c r="Q19" s="1">
        <f t="shared" si="2"/>
        <v>0.82199592668024446</v>
      </c>
      <c r="R19" s="1">
        <f t="shared" si="0"/>
        <v>0.7947046843177189</v>
      </c>
    </row>
    <row r="20" spans="1:18" x14ac:dyDescent="0.2">
      <c r="A20">
        <v>38</v>
      </c>
      <c r="B20" s="2">
        <v>253.2</v>
      </c>
      <c r="C20" s="2">
        <v>34.6</v>
      </c>
      <c r="D20" s="2">
        <v>247.3</v>
      </c>
      <c r="E20" s="2">
        <v>34.200000000000003</v>
      </c>
      <c r="F20" s="2">
        <v>208.7</v>
      </c>
      <c r="G20" s="2">
        <v>34.799999999999997</v>
      </c>
      <c r="H20" s="2">
        <v>201.5</v>
      </c>
      <c r="I20" s="2">
        <v>33.4</v>
      </c>
      <c r="J20" s="2">
        <v>-2.2999999999999998</v>
      </c>
      <c r="K20" s="2">
        <v>-17.600000000000001</v>
      </c>
      <c r="L20" s="2">
        <v>-3.4</v>
      </c>
      <c r="M20" s="2">
        <v>-20.399999999999999</v>
      </c>
      <c r="N20" s="2">
        <v>0.6</v>
      </c>
      <c r="O20">
        <v>1</v>
      </c>
      <c r="P20" s="1">
        <f t="shared" si="1"/>
        <v>0.97669826224328604</v>
      </c>
      <c r="Q20" s="1">
        <f t="shared" si="2"/>
        <v>0.82424960505529221</v>
      </c>
      <c r="R20" s="1">
        <f t="shared" si="0"/>
        <v>0.79581358609794628</v>
      </c>
    </row>
    <row r="21" spans="1:18" x14ac:dyDescent="0.2">
      <c r="A21">
        <v>40</v>
      </c>
      <c r="B21" s="2">
        <v>263.8</v>
      </c>
      <c r="C21" s="2">
        <v>37.200000000000003</v>
      </c>
      <c r="D21" s="2">
        <v>257.5</v>
      </c>
      <c r="E21" s="2">
        <v>36.9</v>
      </c>
      <c r="F21" s="2">
        <v>215.6</v>
      </c>
      <c r="G21" s="2">
        <v>37.4</v>
      </c>
      <c r="H21" s="2">
        <v>209.9</v>
      </c>
      <c r="I21" s="2">
        <v>35.9</v>
      </c>
      <c r="J21" s="2">
        <v>-2.4</v>
      </c>
      <c r="K21" s="2">
        <v>-18.3</v>
      </c>
      <c r="L21" s="2">
        <v>-2.6</v>
      </c>
      <c r="M21" s="2">
        <v>-20.399999999999999</v>
      </c>
      <c r="N21" s="2">
        <v>0.5</v>
      </c>
      <c r="O21">
        <v>1</v>
      </c>
      <c r="P21" s="1">
        <f t="shared" si="1"/>
        <v>0.97611827141774066</v>
      </c>
      <c r="Q21" s="1">
        <f t="shared" si="2"/>
        <v>0.8172858225928733</v>
      </c>
      <c r="R21" s="1">
        <f t="shared" si="0"/>
        <v>0.79567854435178165</v>
      </c>
    </row>
    <row r="22" spans="1:18" x14ac:dyDescent="0.2">
      <c r="A22">
        <v>60</v>
      </c>
      <c r="B22" s="2">
        <v>359.7</v>
      </c>
      <c r="C22" s="2">
        <v>66.5</v>
      </c>
      <c r="D22" s="2">
        <v>348.4</v>
      </c>
      <c r="E22" s="2">
        <v>65.599999999999994</v>
      </c>
      <c r="F22" s="2">
        <v>280.89999999999998</v>
      </c>
      <c r="G22" s="2">
        <v>65.099999999999994</v>
      </c>
      <c r="H22" s="2">
        <v>273</v>
      </c>
      <c r="I22" s="2">
        <v>62.2</v>
      </c>
      <c r="J22" s="2">
        <v>-3.1</v>
      </c>
      <c r="K22" s="2">
        <v>-21.9</v>
      </c>
      <c r="L22" s="2">
        <v>-2.8</v>
      </c>
      <c r="M22" s="2">
        <v>-24.1</v>
      </c>
      <c r="N22" s="2">
        <v>-2.1</v>
      </c>
      <c r="O22">
        <v>1</v>
      </c>
      <c r="P22" s="1">
        <f t="shared" si="1"/>
        <v>0.96858493188768413</v>
      </c>
      <c r="Q22" s="1">
        <f t="shared" si="2"/>
        <v>0.78092855157075336</v>
      </c>
      <c r="R22" s="1">
        <f t="shared" si="0"/>
        <v>0.75896580483736453</v>
      </c>
    </row>
    <row r="23" spans="1:18" x14ac:dyDescent="0.2">
      <c r="A23">
        <v>80</v>
      </c>
      <c r="B23" s="2">
        <v>450.1</v>
      </c>
      <c r="C23" s="2">
        <v>105.5</v>
      </c>
      <c r="D23" s="2">
        <v>438.8</v>
      </c>
      <c r="E23" s="2">
        <v>104.2</v>
      </c>
      <c r="F23" s="2">
        <v>342.6</v>
      </c>
      <c r="G23" s="2">
        <v>98.6</v>
      </c>
      <c r="H23" s="2">
        <v>336.2</v>
      </c>
      <c r="I23" s="2">
        <v>96.9</v>
      </c>
      <c r="J23" s="2">
        <v>-2.5</v>
      </c>
      <c r="K23" s="2">
        <v>-23.9</v>
      </c>
      <c r="L23" s="2">
        <v>-1.9</v>
      </c>
      <c r="M23" s="2">
        <v>-25.3</v>
      </c>
      <c r="N23" s="2">
        <v>-6.5</v>
      </c>
      <c r="O23">
        <v>1</v>
      </c>
      <c r="P23" s="1">
        <f t="shared" si="1"/>
        <v>0.97489446789602308</v>
      </c>
      <c r="Q23" s="1">
        <f t="shared" si="2"/>
        <v>0.76116418573650302</v>
      </c>
      <c r="R23" s="1">
        <f t="shared" si="0"/>
        <v>0.74694512330593199</v>
      </c>
    </row>
    <row r="24" spans="1:18" x14ac:dyDescent="0.2">
      <c r="A24">
        <v>100</v>
      </c>
      <c r="B24" s="2">
        <v>544.79999999999995</v>
      </c>
      <c r="C24" s="2">
        <v>153</v>
      </c>
      <c r="D24" s="2">
        <v>525.4</v>
      </c>
      <c r="E24" s="2">
        <v>149.4</v>
      </c>
      <c r="F24" s="2">
        <v>402.2</v>
      </c>
      <c r="G24" s="2">
        <v>139.1</v>
      </c>
      <c r="H24" s="2">
        <v>393.4</v>
      </c>
      <c r="I24" s="2">
        <v>136.4</v>
      </c>
      <c r="J24" s="2">
        <v>-3.6</v>
      </c>
      <c r="K24" s="2">
        <v>-26.2</v>
      </c>
      <c r="L24" s="2">
        <v>-2.2000000000000002</v>
      </c>
      <c r="M24" s="2">
        <v>-27.8</v>
      </c>
      <c r="N24" s="2">
        <v>-9.1</v>
      </c>
      <c r="O24">
        <v>1</v>
      </c>
      <c r="P24" s="1">
        <f t="shared" si="1"/>
        <v>0.96439060205580029</v>
      </c>
      <c r="Q24" s="1">
        <f t="shared" si="2"/>
        <v>0.73825256975036713</v>
      </c>
      <c r="R24" s="1">
        <f t="shared" si="0"/>
        <v>0.72209985315712188</v>
      </c>
    </row>
    <row r="25" spans="1:18" x14ac:dyDescent="0.2">
      <c r="A25">
        <v>120</v>
      </c>
      <c r="B25" s="2">
        <v>632.4</v>
      </c>
      <c r="C25" s="2">
        <v>209.6</v>
      </c>
      <c r="D25" s="2">
        <v>617.29999999999995</v>
      </c>
      <c r="E25" s="2">
        <v>205.9</v>
      </c>
      <c r="F25" s="2">
        <v>458.2</v>
      </c>
      <c r="G25" s="2">
        <v>187.6</v>
      </c>
      <c r="H25" s="2">
        <v>452.9</v>
      </c>
      <c r="I25" s="2">
        <v>184.7</v>
      </c>
      <c r="J25" s="2">
        <v>-2.4</v>
      </c>
      <c r="K25" s="2">
        <v>-27.5</v>
      </c>
      <c r="L25" s="2">
        <v>-1.2</v>
      </c>
      <c r="M25" s="2">
        <v>-28.4</v>
      </c>
      <c r="N25" s="2">
        <v>-10.5</v>
      </c>
      <c r="O25">
        <v>1</v>
      </c>
      <c r="P25" s="1">
        <f t="shared" si="1"/>
        <v>0.97612270714737503</v>
      </c>
      <c r="Q25" s="1">
        <f t="shared" si="2"/>
        <v>0.72454142947501587</v>
      </c>
      <c r="R25" s="1">
        <f t="shared" si="0"/>
        <v>0.71616065781151172</v>
      </c>
    </row>
    <row r="26" spans="1:18" x14ac:dyDescent="0.2">
      <c r="A26">
        <v>140</v>
      </c>
      <c r="B26" s="2">
        <v>716</v>
      </c>
      <c r="C26" s="2">
        <v>276.2</v>
      </c>
      <c r="D26" s="2">
        <v>702.3</v>
      </c>
      <c r="E26" s="2">
        <v>270.7</v>
      </c>
      <c r="F26" s="2">
        <v>510.6</v>
      </c>
      <c r="G26" s="2">
        <v>238.6</v>
      </c>
      <c r="H26" s="2">
        <v>506.4</v>
      </c>
      <c r="I26" s="2">
        <v>233.7</v>
      </c>
      <c r="J26" s="2">
        <v>-1.9</v>
      </c>
      <c r="K26" s="2">
        <v>-28.7</v>
      </c>
      <c r="L26" s="2">
        <v>-0.8</v>
      </c>
      <c r="M26" s="2">
        <v>-29.3</v>
      </c>
      <c r="N26" s="2">
        <v>-13.6</v>
      </c>
      <c r="O26">
        <v>1</v>
      </c>
      <c r="P26" s="1">
        <f t="shared" si="1"/>
        <v>0.98086592178770948</v>
      </c>
      <c r="Q26" s="1">
        <f t="shared" si="2"/>
        <v>0.71312849162011172</v>
      </c>
      <c r="R26" s="1">
        <f t="shared" si="0"/>
        <v>0.70726256983240221</v>
      </c>
    </row>
    <row r="27" spans="1:18" x14ac:dyDescent="0.2">
      <c r="A27">
        <v>160</v>
      </c>
      <c r="B27" s="2">
        <v>806.5</v>
      </c>
      <c r="C27" s="2">
        <v>351.7</v>
      </c>
      <c r="D27" s="2">
        <v>788</v>
      </c>
      <c r="E27" s="2">
        <v>345.5</v>
      </c>
      <c r="F27" s="2">
        <v>563.9</v>
      </c>
      <c r="G27" s="2">
        <v>296.60000000000002</v>
      </c>
      <c r="H27" s="2">
        <v>558.29999999999995</v>
      </c>
      <c r="I27" s="2">
        <v>292.5</v>
      </c>
      <c r="J27" s="2">
        <v>-2.2999999999999998</v>
      </c>
      <c r="K27" s="2">
        <v>-30.1</v>
      </c>
      <c r="L27" s="2">
        <v>-1</v>
      </c>
      <c r="M27" s="2">
        <v>-30.8</v>
      </c>
      <c r="N27" s="2">
        <v>-15.7</v>
      </c>
      <c r="O27">
        <v>1</v>
      </c>
      <c r="P27" s="1">
        <f t="shared" si="1"/>
        <v>0.97706137631742096</v>
      </c>
      <c r="Q27" s="1">
        <f t="shared" si="2"/>
        <v>0.69919404835709853</v>
      </c>
      <c r="R27" s="1">
        <f t="shared" si="0"/>
        <v>0.69225046497210163</v>
      </c>
    </row>
    <row r="28" spans="1:18" x14ac:dyDescent="0.2">
      <c r="A28">
        <v>180</v>
      </c>
      <c r="B28" s="2">
        <v>902.1</v>
      </c>
      <c r="C28" s="2">
        <v>441.6</v>
      </c>
      <c r="D28" s="2">
        <v>880.4</v>
      </c>
      <c r="E28" s="2">
        <v>433</v>
      </c>
      <c r="F28" s="2">
        <v>616.9</v>
      </c>
      <c r="G28" s="2">
        <v>362.6</v>
      </c>
      <c r="H28" s="2">
        <v>610.20000000000005</v>
      </c>
      <c r="I28" s="2">
        <v>358.2</v>
      </c>
      <c r="J28" s="2">
        <v>-2.4</v>
      </c>
      <c r="K28" s="2">
        <v>-31.6</v>
      </c>
      <c r="L28" s="2">
        <v>-1.1000000000000001</v>
      </c>
      <c r="M28" s="2">
        <v>-32.4</v>
      </c>
      <c r="N28" s="2">
        <v>-17.899999999999999</v>
      </c>
      <c r="O28">
        <v>1</v>
      </c>
      <c r="P28" s="1">
        <f t="shared" si="1"/>
        <v>0.97594501718213056</v>
      </c>
      <c r="Q28" s="1">
        <f t="shared" si="2"/>
        <v>0.68384879725085912</v>
      </c>
      <c r="R28" s="1">
        <f t="shared" si="0"/>
        <v>0.6764216827402727</v>
      </c>
    </row>
    <row r="29" spans="1:18" x14ac:dyDescent="0.2">
      <c r="A29">
        <v>200</v>
      </c>
      <c r="B29" s="2">
        <v>981.5</v>
      </c>
      <c r="C29" s="2">
        <v>531.1</v>
      </c>
      <c r="D29" s="2">
        <v>960.9</v>
      </c>
      <c r="E29" s="2">
        <v>522.70000000000005</v>
      </c>
      <c r="F29" s="2">
        <v>665.7</v>
      </c>
      <c r="G29" s="2">
        <v>428</v>
      </c>
      <c r="H29" s="2">
        <v>660</v>
      </c>
      <c r="I29" s="2">
        <v>422.8</v>
      </c>
      <c r="J29" s="2">
        <v>-2.1</v>
      </c>
      <c r="K29" s="2">
        <v>-32.200000000000003</v>
      </c>
      <c r="L29" s="2">
        <v>-0.9</v>
      </c>
      <c r="M29" s="2">
        <v>-32.799999999999997</v>
      </c>
      <c r="N29" s="2">
        <v>-19.399999999999999</v>
      </c>
      <c r="O29">
        <v>1</v>
      </c>
      <c r="P29" s="1">
        <f t="shared" si="1"/>
        <v>0.97901171676006116</v>
      </c>
      <c r="Q29" s="1">
        <f t="shared" si="2"/>
        <v>0.67824758023433529</v>
      </c>
      <c r="R29" s="1">
        <f t="shared" si="0"/>
        <v>0.67244014263881813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C0165-7B09-2442-A9D2-BF39681A36D2}">
  <dimension ref="A1:R33"/>
  <sheetViews>
    <sheetView workbookViewId="0">
      <selection activeCell="B2" sqref="B2:N29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 s="2">
        <v>74.5</v>
      </c>
      <c r="C2" s="2">
        <v>10.3</v>
      </c>
      <c r="D2" s="2">
        <v>54.9</v>
      </c>
      <c r="E2" s="2">
        <v>10.5</v>
      </c>
      <c r="F2" s="2">
        <v>89.4</v>
      </c>
      <c r="G2" s="2">
        <v>9.5</v>
      </c>
      <c r="H2" s="2">
        <v>54.7</v>
      </c>
      <c r="I2" s="2">
        <v>9.1999999999999993</v>
      </c>
      <c r="J2" s="2">
        <v>-26.3</v>
      </c>
      <c r="K2" s="2">
        <v>20</v>
      </c>
      <c r="L2" s="2">
        <v>-38.799999999999997</v>
      </c>
      <c r="M2" s="2">
        <v>-26.6</v>
      </c>
      <c r="N2" s="2">
        <v>-7.8</v>
      </c>
      <c r="O2">
        <v>1</v>
      </c>
      <c r="P2" s="1">
        <f t="shared" ref="P2:P29" si="0">D2/B2</f>
        <v>0.73691275167785231</v>
      </c>
      <c r="Q2" s="1">
        <f t="shared" ref="Q2:Q29" si="1">F2/B2</f>
        <v>1.2000000000000002</v>
      </c>
      <c r="R2" s="1">
        <f t="shared" ref="R2:R29" si="2">H2/B2</f>
        <v>0.73422818791946309</v>
      </c>
    </row>
    <row r="3" spans="1:18" x14ac:dyDescent="0.2">
      <c r="A3">
        <v>4</v>
      </c>
      <c r="B3" s="2">
        <v>146.80000000000001</v>
      </c>
      <c r="C3" s="2">
        <v>14.9</v>
      </c>
      <c r="D3" s="2">
        <v>133.6</v>
      </c>
      <c r="E3" s="2">
        <v>15.3</v>
      </c>
      <c r="F3" s="2">
        <v>160.19999999999999</v>
      </c>
      <c r="G3" s="2">
        <v>12.9</v>
      </c>
      <c r="H3" s="2">
        <v>118.4</v>
      </c>
      <c r="I3" s="2">
        <v>12.1</v>
      </c>
      <c r="J3" s="2">
        <v>-9</v>
      </c>
      <c r="K3" s="2">
        <v>9.1</v>
      </c>
      <c r="L3" s="2">
        <v>-26.1</v>
      </c>
      <c r="M3" s="2">
        <v>-19.3</v>
      </c>
      <c r="N3" s="2">
        <v>-13.4</v>
      </c>
      <c r="O3">
        <v>1</v>
      </c>
      <c r="P3" s="1">
        <f t="shared" si="0"/>
        <v>0.9100817438692097</v>
      </c>
      <c r="Q3" s="1">
        <f t="shared" si="1"/>
        <v>1.0912806539509534</v>
      </c>
      <c r="R3" s="1">
        <f t="shared" si="2"/>
        <v>0.80653950953678477</v>
      </c>
    </row>
    <row r="4" spans="1:18" x14ac:dyDescent="0.2">
      <c r="A4">
        <v>6</v>
      </c>
      <c r="B4" s="2">
        <v>223.6</v>
      </c>
      <c r="C4" s="2">
        <v>20.399999999999999</v>
      </c>
      <c r="D4" s="2">
        <v>207.7</v>
      </c>
      <c r="E4" s="2">
        <v>20.3</v>
      </c>
      <c r="F4" s="2">
        <v>225.6</v>
      </c>
      <c r="G4" s="2">
        <v>16.5</v>
      </c>
      <c r="H4" s="2">
        <v>190.6</v>
      </c>
      <c r="I4" s="2">
        <v>16.100000000000001</v>
      </c>
      <c r="J4" s="2">
        <v>-7.1</v>
      </c>
      <c r="K4" s="2">
        <v>0.9</v>
      </c>
      <c r="L4" s="2">
        <v>-15.5</v>
      </c>
      <c r="M4" s="2">
        <v>-14.8</v>
      </c>
      <c r="N4" s="2">
        <v>-19.100000000000001</v>
      </c>
      <c r="O4">
        <v>1</v>
      </c>
      <c r="P4" s="1">
        <f t="shared" si="0"/>
        <v>0.92889087656529512</v>
      </c>
      <c r="Q4" s="1">
        <f t="shared" si="1"/>
        <v>1.0089445438282647</v>
      </c>
      <c r="R4" s="1">
        <f t="shared" si="2"/>
        <v>0.85241502683363146</v>
      </c>
    </row>
    <row r="5" spans="1:18" x14ac:dyDescent="0.2">
      <c r="A5">
        <v>8</v>
      </c>
      <c r="B5" s="2">
        <v>292.2</v>
      </c>
      <c r="C5" s="2">
        <v>25.8</v>
      </c>
      <c r="D5" s="2">
        <v>273</v>
      </c>
      <c r="E5" s="2">
        <v>25</v>
      </c>
      <c r="F5" s="2">
        <v>276.3</v>
      </c>
      <c r="G5" s="2">
        <v>20.2</v>
      </c>
      <c r="H5" s="2">
        <v>246.7</v>
      </c>
      <c r="I5" s="2">
        <v>19.3</v>
      </c>
      <c r="J5" s="2">
        <v>-6.6</v>
      </c>
      <c r="K5" s="2">
        <v>-5.4</v>
      </c>
      <c r="L5" s="2">
        <v>-10.7</v>
      </c>
      <c r="M5" s="2">
        <v>-15.6</v>
      </c>
      <c r="N5" s="2">
        <v>-21.7</v>
      </c>
      <c r="O5">
        <v>1</v>
      </c>
      <c r="P5" s="1">
        <f t="shared" si="0"/>
        <v>0.93429158110882959</v>
      </c>
      <c r="Q5" s="1">
        <f t="shared" si="1"/>
        <v>0.9455852156057496</v>
      </c>
      <c r="R5" s="1">
        <f t="shared" si="2"/>
        <v>0.84428473648186175</v>
      </c>
    </row>
    <row r="6" spans="1:18" x14ac:dyDescent="0.2">
      <c r="A6">
        <v>10</v>
      </c>
      <c r="B6" s="2">
        <v>341.7</v>
      </c>
      <c r="C6" s="2">
        <v>31.5</v>
      </c>
      <c r="D6" s="2">
        <v>325.7</v>
      </c>
      <c r="E6" s="2">
        <v>31.2</v>
      </c>
      <c r="F6" s="2">
        <v>324.89999999999998</v>
      </c>
      <c r="G6" s="2">
        <v>23.8</v>
      </c>
      <c r="H6" s="2">
        <v>295.2</v>
      </c>
      <c r="I6" s="2">
        <v>23.1</v>
      </c>
      <c r="J6" s="2">
        <v>-4.7</v>
      </c>
      <c r="K6" s="2">
        <v>-4.9000000000000004</v>
      </c>
      <c r="L6" s="2">
        <v>-9.1</v>
      </c>
      <c r="M6" s="2">
        <v>-13.6</v>
      </c>
      <c r="N6" s="2">
        <v>-24.4</v>
      </c>
      <c r="O6">
        <v>1</v>
      </c>
      <c r="P6" s="1">
        <f t="shared" si="0"/>
        <v>0.95317529997073458</v>
      </c>
      <c r="Q6" s="1">
        <f t="shared" si="1"/>
        <v>0.95083406496927125</v>
      </c>
      <c r="R6" s="1">
        <f t="shared" si="2"/>
        <v>0.86391571553994728</v>
      </c>
    </row>
    <row r="7" spans="1:18" x14ac:dyDescent="0.2">
      <c r="A7">
        <v>12</v>
      </c>
      <c r="B7" s="2">
        <v>384.4</v>
      </c>
      <c r="C7" s="2">
        <v>36.9</v>
      </c>
      <c r="D7" s="2">
        <v>372</v>
      </c>
      <c r="E7" s="2">
        <v>36.700000000000003</v>
      </c>
      <c r="F7" s="2">
        <v>365.1</v>
      </c>
      <c r="G7" s="2">
        <v>28.3</v>
      </c>
      <c r="H7" s="2">
        <v>341.6</v>
      </c>
      <c r="I7" s="2">
        <v>27.4</v>
      </c>
      <c r="J7" s="2">
        <v>-3.2</v>
      </c>
      <c r="K7" s="2">
        <v>-5</v>
      </c>
      <c r="L7" s="2">
        <v>-6.4</v>
      </c>
      <c r="M7" s="2">
        <v>-11.1</v>
      </c>
      <c r="N7" s="2">
        <v>-23.3</v>
      </c>
      <c r="O7">
        <v>1</v>
      </c>
      <c r="P7" s="1">
        <f t="shared" si="0"/>
        <v>0.967741935483871</v>
      </c>
      <c r="Q7" s="1">
        <f t="shared" si="1"/>
        <v>0.94979188345473475</v>
      </c>
      <c r="R7" s="1">
        <f t="shared" si="2"/>
        <v>0.88865764828303861</v>
      </c>
    </row>
    <row r="8" spans="1:18" x14ac:dyDescent="0.2">
      <c r="A8">
        <v>14</v>
      </c>
      <c r="B8" s="2">
        <v>414.9</v>
      </c>
      <c r="C8" s="2">
        <v>41.7</v>
      </c>
      <c r="D8" s="2">
        <v>401.2</v>
      </c>
      <c r="E8" s="2">
        <v>41.3</v>
      </c>
      <c r="F8" s="2">
        <v>390.5</v>
      </c>
      <c r="G8" s="2">
        <v>32.200000000000003</v>
      </c>
      <c r="H8" s="2">
        <v>367.6</v>
      </c>
      <c r="I8" s="2">
        <v>30.8</v>
      </c>
      <c r="J8" s="2">
        <v>-3.3</v>
      </c>
      <c r="K8" s="2">
        <v>-5.9</v>
      </c>
      <c r="L8" s="2">
        <v>-5.9</v>
      </c>
      <c r="M8" s="2">
        <v>-11.4</v>
      </c>
      <c r="N8" s="2">
        <v>-22.8</v>
      </c>
      <c r="O8">
        <v>1</v>
      </c>
      <c r="P8" s="1">
        <f t="shared" si="0"/>
        <v>0.96697999517956135</v>
      </c>
      <c r="Q8" s="1">
        <f t="shared" si="1"/>
        <v>0.94119064834899979</v>
      </c>
      <c r="R8" s="1">
        <f t="shared" si="2"/>
        <v>0.88599662569293813</v>
      </c>
    </row>
    <row r="9" spans="1:18" x14ac:dyDescent="0.2">
      <c r="A9">
        <v>16</v>
      </c>
      <c r="B9" s="2">
        <v>447.1</v>
      </c>
      <c r="C9" s="2">
        <v>47</v>
      </c>
      <c r="D9" s="2">
        <v>438</v>
      </c>
      <c r="E9" s="2">
        <v>47.8</v>
      </c>
      <c r="F9" s="2">
        <v>420.7</v>
      </c>
      <c r="G9" s="2">
        <v>36.700000000000003</v>
      </c>
      <c r="H9" s="2">
        <v>400.3</v>
      </c>
      <c r="I9" s="2">
        <v>34.799999999999997</v>
      </c>
      <c r="J9" s="2">
        <v>-2</v>
      </c>
      <c r="K9" s="2">
        <v>-5.9</v>
      </c>
      <c r="L9" s="2">
        <v>-4.8</v>
      </c>
      <c r="M9" s="2">
        <v>-10.5</v>
      </c>
      <c r="N9" s="2">
        <v>-21.9</v>
      </c>
      <c r="O9">
        <v>1</v>
      </c>
      <c r="P9" s="1">
        <f t="shared" si="0"/>
        <v>0.97964661149630949</v>
      </c>
      <c r="Q9" s="1">
        <f t="shared" si="1"/>
        <v>0.94095280697830452</v>
      </c>
      <c r="R9" s="1">
        <f t="shared" si="2"/>
        <v>0.89532543055244906</v>
      </c>
    </row>
    <row r="10" spans="1:18" x14ac:dyDescent="0.2">
      <c r="A10">
        <v>18</v>
      </c>
      <c r="B10" s="2">
        <v>475.9</v>
      </c>
      <c r="C10" s="2">
        <v>53.4</v>
      </c>
      <c r="D10" s="2">
        <v>466.4</v>
      </c>
      <c r="E10" s="2">
        <v>53.3</v>
      </c>
      <c r="F10" s="2">
        <v>447</v>
      </c>
      <c r="G10" s="2">
        <v>41.1</v>
      </c>
      <c r="H10" s="2">
        <v>431</v>
      </c>
      <c r="I10" s="2">
        <v>39.4</v>
      </c>
      <c r="J10" s="2">
        <v>-2</v>
      </c>
      <c r="K10" s="2">
        <v>-6.1</v>
      </c>
      <c r="L10" s="2">
        <v>-3.6</v>
      </c>
      <c r="M10" s="2">
        <v>-9.4</v>
      </c>
      <c r="N10" s="2">
        <v>-23</v>
      </c>
      <c r="O10">
        <v>1</v>
      </c>
      <c r="P10" s="1">
        <f t="shared" si="0"/>
        <v>0.98003782307207399</v>
      </c>
      <c r="Q10" s="1">
        <f t="shared" si="1"/>
        <v>0.9392729565034672</v>
      </c>
      <c r="R10" s="1">
        <f t="shared" si="2"/>
        <v>0.90565244799327593</v>
      </c>
    </row>
    <row r="11" spans="1:18" x14ac:dyDescent="0.2">
      <c r="A11">
        <v>20</v>
      </c>
      <c r="B11" s="2">
        <v>508.8</v>
      </c>
      <c r="C11" s="2">
        <v>60.4</v>
      </c>
      <c r="D11" s="2">
        <v>494.7</v>
      </c>
      <c r="E11" s="2">
        <v>58.8</v>
      </c>
      <c r="F11" s="2">
        <v>474.2</v>
      </c>
      <c r="G11" s="2">
        <v>46.6</v>
      </c>
      <c r="H11" s="2">
        <v>457.1</v>
      </c>
      <c r="I11" s="2">
        <v>44.4</v>
      </c>
      <c r="J11" s="2">
        <v>-2.8</v>
      </c>
      <c r="K11" s="2">
        <v>-6.8</v>
      </c>
      <c r="L11" s="2">
        <v>-3.6</v>
      </c>
      <c r="M11" s="2">
        <v>-10.199999999999999</v>
      </c>
      <c r="N11" s="2">
        <v>-22.8</v>
      </c>
      <c r="O11">
        <v>1</v>
      </c>
      <c r="P11" s="1">
        <f t="shared" si="0"/>
        <v>0.97228773584905659</v>
      </c>
      <c r="Q11" s="1">
        <f t="shared" si="1"/>
        <v>0.93199685534591192</v>
      </c>
      <c r="R11" s="1">
        <f t="shared" si="2"/>
        <v>0.89838836477987427</v>
      </c>
    </row>
    <row r="12" spans="1:18" x14ac:dyDescent="0.2">
      <c r="A12">
        <v>22</v>
      </c>
      <c r="B12" s="2">
        <v>530.70000000000005</v>
      </c>
      <c r="C12" s="2">
        <v>65.099999999999994</v>
      </c>
      <c r="D12" s="2">
        <v>522.29999999999995</v>
      </c>
      <c r="E12" s="2">
        <v>65</v>
      </c>
      <c r="F12" s="2">
        <v>495</v>
      </c>
      <c r="G12" s="2">
        <v>51.4</v>
      </c>
      <c r="H12" s="2">
        <v>480.2</v>
      </c>
      <c r="I12" s="2">
        <v>49.5</v>
      </c>
      <c r="J12" s="2">
        <v>-1.6</v>
      </c>
      <c r="K12" s="2">
        <v>-6.7</v>
      </c>
      <c r="L12" s="2">
        <v>-3</v>
      </c>
      <c r="M12" s="2">
        <v>-9.5</v>
      </c>
      <c r="N12" s="2">
        <v>-21</v>
      </c>
      <c r="O12">
        <v>1</v>
      </c>
      <c r="P12" s="1">
        <f t="shared" si="0"/>
        <v>0.98417184850197836</v>
      </c>
      <c r="Q12" s="1">
        <f t="shared" si="1"/>
        <v>0.9327303561334086</v>
      </c>
      <c r="R12" s="1">
        <f t="shared" si="2"/>
        <v>0.90484266063689456</v>
      </c>
    </row>
    <row r="13" spans="1:18" x14ac:dyDescent="0.2">
      <c r="A13">
        <v>24</v>
      </c>
      <c r="B13" s="2">
        <v>561.1</v>
      </c>
      <c r="C13" s="2">
        <v>72.099999999999994</v>
      </c>
      <c r="D13" s="2">
        <v>552</v>
      </c>
      <c r="E13" s="2">
        <v>72.3</v>
      </c>
      <c r="F13" s="2">
        <v>517.1</v>
      </c>
      <c r="G13" s="2">
        <v>57.2</v>
      </c>
      <c r="H13" s="2">
        <v>504.6</v>
      </c>
      <c r="I13" s="2">
        <v>54.6</v>
      </c>
      <c r="J13" s="2">
        <v>-1.6</v>
      </c>
      <c r="K13" s="2">
        <v>-7.8</v>
      </c>
      <c r="L13" s="2">
        <v>-2.4</v>
      </c>
      <c r="M13" s="2">
        <v>-10.1</v>
      </c>
      <c r="N13" s="2">
        <v>-20.7</v>
      </c>
      <c r="O13">
        <v>1</v>
      </c>
      <c r="P13" s="1">
        <f t="shared" si="0"/>
        <v>0.98378185706647647</v>
      </c>
      <c r="Q13" s="1">
        <f t="shared" si="1"/>
        <v>0.92158260559615046</v>
      </c>
      <c r="R13" s="1">
        <f t="shared" si="2"/>
        <v>0.89930493673142042</v>
      </c>
    </row>
    <row r="14" spans="1:18" x14ac:dyDescent="0.2">
      <c r="A14">
        <v>26</v>
      </c>
      <c r="B14" s="2">
        <v>587.20000000000005</v>
      </c>
      <c r="C14" s="2">
        <v>79.099999999999994</v>
      </c>
      <c r="D14" s="2">
        <v>574.29999999999995</v>
      </c>
      <c r="E14" s="2">
        <v>78.400000000000006</v>
      </c>
      <c r="F14" s="2">
        <v>534.5</v>
      </c>
      <c r="G14" s="2">
        <v>61.7</v>
      </c>
      <c r="H14" s="2">
        <v>523.6</v>
      </c>
      <c r="I14" s="2">
        <v>59.6</v>
      </c>
      <c r="J14" s="2">
        <v>-2.2000000000000002</v>
      </c>
      <c r="K14" s="2">
        <v>-9</v>
      </c>
      <c r="L14" s="2">
        <v>-2</v>
      </c>
      <c r="M14" s="2">
        <v>-10.8</v>
      </c>
      <c r="N14" s="2">
        <v>-22</v>
      </c>
      <c r="O14">
        <v>1</v>
      </c>
      <c r="P14" s="1">
        <f t="shared" si="0"/>
        <v>0.97803133514986362</v>
      </c>
      <c r="Q14" s="1">
        <f t="shared" si="1"/>
        <v>0.91025204359673018</v>
      </c>
      <c r="R14" s="1">
        <f t="shared" si="2"/>
        <v>0.89168937329700271</v>
      </c>
    </row>
    <row r="15" spans="1:18" x14ac:dyDescent="0.2">
      <c r="A15">
        <v>28</v>
      </c>
      <c r="B15" s="2">
        <v>611.5</v>
      </c>
      <c r="C15" s="2">
        <v>86.7</v>
      </c>
      <c r="D15" s="2">
        <v>602.4</v>
      </c>
      <c r="E15" s="2">
        <v>85.1</v>
      </c>
      <c r="F15" s="2">
        <v>556.4</v>
      </c>
      <c r="G15" s="2">
        <v>67.3</v>
      </c>
      <c r="H15" s="2">
        <v>544.1</v>
      </c>
      <c r="I15" s="2">
        <v>66</v>
      </c>
      <c r="J15" s="2">
        <v>-1.5</v>
      </c>
      <c r="K15" s="2">
        <v>-9</v>
      </c>
      <c r="L15" s="2">
        <v>-2.2000000000000002</v>
      </c>
      <c r="M15" s="2">
        <v>-11</v>
      </c>
      <c r="N15" s="2">
        <v>-22.4</v>
      </c>
      <c r="O15">
        <v>1</v>
      </c>
      <c r="P15" s="1">
        <f t="shared" si="0"/>
        <v>0.98511856091578087</v>
      </c>
      <c r="Q15" s="1">
        <f t="shared" si="1"/>
        <v>0.90989370400654124</v>
      </c>
      <c r="R15" s="1">
        <f t="shared" si="2"/>
        <v>0.88977923139820114</v>
      </c>
    </row>
    <row r="16" spans="1:18" x14ac:dyDescent="0.2">
      <c r="A16">
        <v>30</v>
      </c>
      <c r="B16" s="2">
        <v>635.9</v>
      </c>
      <c r="C16" s="2">
        <v>92.5</v>
      </c>
      <c r="D16" s="2">
        <v>625.1</v>
      </c>
      <c r="E16" s="2">
        <v>92.6</v>
      </c>
      <c r="F16" s="2">
        <v>577.29999999999995</v>
      </c>
      <c r="G16" s="2">
        <v>73.900000000000006</v>
      </c>
      <c r="H16" s="2">
        <v>564.9</v>
      </c>
      <c r="I16" s="2">
        <v>72.5</v>
      </c>
      <c r="J16" s="2">
        <v>-1.7</v>
      </c>
      <c r="K16" s="2">
        <v>-9.1999999999999993</v>
      </c>
      <c r="L16" s="2">
        <v>-2.1</v>
      </c>
      <c r="M16" s="2">
        <v>-11.2</v>
      </c>
      <c r="N16" s="2">
        <v>-20.100000000000001</v>
      </c>
      <c r="O16">
        <v>1</v>
      </c>
      <c r="P16" s="1">
        <f t="shared" si="0"/>
        <v>0.98301619751533265</v>
      </c>
      <c r="Q16" s="1">
        <f t="shared" si="1"/>
        <v>0.90784714577763792</v>
      </c>
      <c r="R16" s="1">
        <f t="shared" si="2"/>
        <v>0.88834722440635316</v>
      </c>
    </row>
    <row r="17" spans="1:18" x14ac:dyDescent="0.2">
      <c r="A17">
        <v>32</v>
      </c>
      <c r="B17" s="2">
        <v>659.2</v>
      </c>
      <c r="C17" s="2">
        <v>100.7</v>
      </c>
      <c r="D17" s="2">
        <v>649.79999999999995</v>
      </c>
      <c r="E17" s="2">
        <v>99.9</v>
      </c>
      <c r="F17" s="2">
        <v>597.29999999999995</v>
      </c>
      <c r="G17" s="2">
        <v>80.400000000000006</v>
      </c>
      <c r="H17" s="2">
        <v>584.70000000000005</v>
      </c>
      <c r="I17" s="2">
        <v>78.599999999999994</v>
      </c>
      <c r="J17" s="2">
        <v>-1.4</v>
      </c>
      <c r="K17" s="2">
        <v>-9.4</v>
      </c>
      <c r="L17" s="2">
        <v>-2.1</v>
      </c>
      <c r="M17" s="2">
        <v>-11.3</v>
      </c>
      <c r="N17" s="2">
        <v>-20.2</v>
      </c>
      <c r="O17">
        <v>1</v>
      </c>
      <c r="P17" s="1">
        <f t="shared" si="0"/>
        <v>0.9857402912621358</v>
      </c>
      <c r="Q17" s="1">
        <f t="shared" si="1"/>
        <v>0.90609830097087363</v>
      </c>
      <c r="R17" s="1">
        <f t="shared" si="2"/>
        <v>0.88698422330097093</v>
      </c>
    </row>
    <row r="18" spans="1:18" x14ac:dyDescent="0.2">
      <c r="A18">
        <v>34</v>
      </c>
      <c r="B18" s="2">
        <v>687.2</v>
      </c>
      <c r="C18" s="2">
        <v>108.1</v>
      </c>
      <c r="D18" s="2">
        <v>676</v>
      </c>
      <c r="E18" s="2">
        <v>109.1</v>
      </c>
      <c r="F18" s="2">
        <v>618.79999999999995</v>
      </c>
      <c r="G18" s="2">
        <v>87.4</v>
      </c>
      <c r="H18" s="2">
        <v>608.79999999999995</v>
      </c>
      <c r="I18" s="2">
        <v>86.2</v>
      </c>
      <c r="J18" s="2">
        <v>-1.6</v>
      </c>
      <c r="K18" s="2">
        <v>-10</v>
      </c>
      <c r="L18" s="2">
        <v>-1.6</v>
      </c>
      <c r="M18" s="2">
        <v>-11.4</v>
      </c>
      <c r="N18" s="2">
        <v>-19.100000000000001</v>
      </c>
      <c r="O18">
        <v>1</v>
      </c>
      <c r="P18" s="1">
        <f t="shared" si="0"/>
        <v>0.98370197904540158</v>
      </c>
      <c r="Q18" s="1">
        <f t="shared" si="1"/>
        <v>0.90046565774155984</v>
      </c>
      <c r="R18" s="1">
        <f t="shared" si="2"/>
        <v>0.88591385331781125</v>
      </c>
    </row>
    <row r="19" spans="1:18" x14ac:dyDescent="0.2">
      <c r="A19">
        <v>36</v>
      </c>
      <c r="B19" s="2">
        <v>710.7</v>
      </c>
      <c r="C19" s="2">
        <v>114.2</v>
      </c>
      <c r="D19" s="2">
        <v>698.2</v>
      </c>
      <c r="E19" s="2">
        <v>115.2</v>
      </c>
      <c r="F19" s="2">
        <v>636.9</v>
      </c>
      <c r="G19" s="2">
        <v>94.7</v>
      </c>
      <c r="H19" s="2">
        <v>627.4</v>
      </c>
      <c r="I19" s="2">
        <v>92.3</v>
      </c>
      <c r="J19" s="2">
        <v>-1.8</v>
      </c>
      <c r="K19" s="2">
        <v>-10.4</v>
      </c>
      <c r="L19" s="2">
        <v>-1.5</v>
      </c>
      <c r="M19" s="2">
        <v>-11.7</v>
      </c>
      <c r="N19" s="2">
        <v>-17.100000000000001</v>
      </c>
      <c r="O19">
        <v>1</v>
      </c>
      <c r="P19" s="1">
        <f t="shared" si="0"/>
        <v>0.98241170676797529</v>
      </c>
      <c r="Q19" s="1">
        <f t="shared" si="1"/>
        <v>0.89615871675812575</v>
      </c>
      <c r="R19" s="1">
        <f t="shared" si="2"/>
        <v>0.88279161390178684</v>
      </c>
    </row>
    <row r="20" spans="1:18" x14ac:dyDescent="0.2">
      <c r="A20">
        <v>38</v>
      </c>
      <c r="B20" s="2">
        <v>733.8</v>
      </c>
      <c r="C20" s="2">
        <v>123</v>
      </c>
      <c r="D20" s="2">
        <v>722.5</v>
      </c>
      <c r="E20" s="2">
        <v>123.1</v>
      </c>
      <c r="F20" s="2">
        <v>655.4</v>
      </c>
      <c r="G20" s="2">
        <v>101.7</v>
      </c>
      <c r="H20" s="2">
        <v>644.20000000000005</v>
      </c>
      <c r="I20" s="2">
        <v>99</v>
      </c>
      <c r="J20" s="2">
        <v>-1.5</v>
      </c>
      <c r="K20" s="2">
        <v>-10.7</v>
      </c>
      <c r="L20" s="2">
        <v>-1.7</v>
      </c>
      <c r="M20" s="2">
        <v>-12.2</v>
      </c>
      <c r="N20" s="2">
        <v>-17.3</v>
      </c>
      <c r="O20">
        <v>1</v>
      </c>
      <c r="P20" s="1">
        <f t="shared" si="0"/>
        <v>0.98460070863995641</v>
      </c>
      <c r="Q20" s="1">
        <f t="shared" si="1"/>
        <v>0.89315889888252931</v>
      </c>
      <c r="R20" s="1">
        <f t="shared" si="2"/>
        <v>0.87789588443717648</v>
      </c>
    </row>
    <row r="21" spans="1:18" x14ac:dyDescent="0.2">
      <c r="A21">
        <v>40</v>
      </c>
      <c r="B21" s="2">
        <v>761.4</v>
      </c>
      <c r="C21" s="2">
        <v>133.6</v>
      </c>
      <c r="D21" s="2">
        <v>750.8</v>
      </c>
      <c r="E21" s="2">
        <v>132.4</v>
      </c>
      <c r="F21" s="2">
        <v>681.2</v>
      </c>
      <c r="G21" s="2">
        <v>110.8</v>
      </c>
      <c r="H21" s="2">
        <v>667.8</v>
      </c>
      <c r="I21" s="2">
        <v>106.8</v>
      </c>
      <c r="J21" s="2">
        <v>-1.4</v>
      </c>
      <c r="K21" s="2">
        <v>-10.5</v>
      </c>
      <c r="L21" s="2">
        <v>-2</v>
      </c>
      <c r="M21" s="2">
        <v>-12.3</v>
      </c>
      <c r="N21" s="2">
        <v>-17.100000000000001</v>
      </c>
      <c r="O21">
        <v>1</v>
      </c>
      <c r="P21" s="1">
        <f t="shared" si="0"/>
        <v>0.98607827685841865</v>
      </c>
      <c r="Q21" s="1">
        <f t="shared" si="1"/>
        <v>0.89466771736275286</v>
      </c>
      <c r="R21" s="1">
        <f t="shared" si="2"/>
        <v>0.87706855791962168</v>
      </c>
    </row>
    <row r="22" spans="1:18" x14ac:dyDescent="0.2">
      <c r="A22">
        <v>60</v>
      </c>
      <c r="B22" s="2">
        <v>1008</v>
      </c>
      <c r="C22" s="2">
        <v>231.4</v>
      </c>
      <c r="D22" s="2">
        <v>991</v>
      </c>
      <c r="E22" s="2">
        <v>230.4</v>
      </c>
      <c r="F22" s="2">
        <v>880</v>
      </c>
      <c r="G22" s="2">
        <v>204.2</v>
      </c>
      <c r="H22" s="2">
        <v>871.3</v>
      </c>
      <c r="I22" s="2">
        <v>200.7</v>
      </c>
      <c r="J22" s="2">
        <v>-1.7</v>
      </c>
      <c r="K22" s="2">
        <v>-12.7</v>
      </c>
      <c r="L22" s="2">
        <v>-1</v>
      </c>
      <c r="M22" s="2">
        <v>-13.6</v>
      </c>
      <c r="N22" s="2">
        <v>-11.8</v>
      </c>
      <c r="O22">
        <v>1</v>
      </c>
      <c r="P22" s="1">
        <f t="shared" si="0"/>
        <v>0.98313492063492058</v>
      </c>
      <c r="Q22" s="1">
        <f t="shared" si="1"/>
        <v>0.87301587301587302</v>
      </c>
      <c r="R22" s="1">
        <f t="shared" si="2"/>
        <v>0.86438492063492056</v>
      </c>
    </row>
    <row r="23" spans="1:18" x14ac:dyDescent="0.2">
      <c r="A23">
        <v>80</v>
      </c>
      <c r="B23" s="2">
        <v>1252</v>
      </c>
      <c r="C23" s="2">
        <v>364.8</v>
      </c>
      <c r="D23" s="2">
        <v>1235</v>
      </c>
      <c r="E23" s="2">
        <v>357.1</v>
      </c>
      <c r="F23" s="2">
        <v>1077.8</v>
      </c>
      <c r="G23" s="2">
        <v>327.8</v>
      </c>
      <c r="H23" s="2">
        <v>1066</v>
      </c>
      <c r="I23" s="2">
        <v>323.5</v>
      </c>
      <c r="J23" s="2">
        <v>-1.4</v>
      </c>
      <c r="K23" s="2">
        <v>-13.9</v>
      </c>
      <c r="L23" s="2">
        <v>-1.1000000000000001</v>
      </c>
      <c r="M23" s="2">
        <v>-14.9</v>
      </c>
      <c r="N23" s="2">
        <v>-10.1</v>
      </c>
      <c r="O23">
        <v>1</v>
      </c>
      <c r="P23" s="1">
        <f t="shared" si="0"/>
        <v>0.98642172523961658</v>
      </c>
      <c r="Q23" s="1">
        <f t="shared" si="1"/>
        <v>0.86086261980830669</v>
      </c>
      <c r="R23" s="1">
        <f t="shared" si="2"/>
        <v>0.8514376996805112</v>
      </c>
    </row>
    <row r="24" spans="1:18" x14ac:dyDescent="0.2">
      <c r="A24">
        <v>100</v>
      </c>
      <c r="B24" s="2">
        <v>1498.4</v>
      </c>
      <c r="C24" s="2">
        <v>518.29999999999995</v>
      </c>
      <c r="D24" s="2">
        <v>1478.6</v>
      </c>
      <c r="E24" s="2">
        <v>515.4</v>
      </c>
      <c r="F24" s="2">
        <v>1275.8</v>
      </c>
      <c r="G24" s="2">
        <v>484.6</v>
      </c>
      <c r="H24" s="2">
        <v>1265.8</v>
      </c>
      <c r="I24" s="2">
        <v>478.7</v>
      </c>
      <c r="J24" s="2">
        <v>-1.3</v>
      </c>
      <c r="K24" s="2">
        <v>-14.9</v>
      </c>
      <c r="L24" s="2">
        <v>-0.8</v>
      </c>
      <c r="M24" s="2">
        <v>-15.5</v>
      </c>
      <c r="N24" s="2">
        <v>-6.5</v>
      </c>
      <c r="O24">
        <v>1</v>
      </c>
      <c r="P24" s="1">
        <f t="shared" si="0"/>
        <v>0.98678590496529617</v>
      </c>
      <c r="Q24" s="1">
        <f t="shared" si="1"/>
        <v>0.8514415376401494</v>
      </c>
      <c r="R24" s="1">
        <f t="shared" si="2"/>
        <v>0.84476775226908696</v>
      </c>
    </row>
    <row r="25" spans="1:18" x14ac:dyDescent="0.2">
      <c r="A25">
        <v>120</v>
      </c>
      <c r="B25" s="2">
        <v>1733.2</v>
      </c>
      <c r="C25" s="2">
        <v>725.5</v>
      </c>
      <c r="D25" s="2">
        <v>1714.3</v>
      </c>
      <c r="E25" s="2">
        <v>715.9</v>
      </c>
      <c r="F25" s="2">
        <v>1465.8</v>
      </c>
      <c r="G25" s="2">
        <v>675.5</v>
      </c>
      <c r="H25" s="2">
        <v>1457</v>
      </c>
      <c r="I25" s="2">
        <v>670.1</v>
      </c>
      <c r="J25" s="2">
        <v>-1.1000000000000001</v>
      </c>
      <c r="K25" s="2">
        <v>-15.4</v>
      </c>
      <c r="L25" s="2">
        <v>-0.6</v>
      </c>
      <c r="M25" s="2">
        <v>-15.9</v>
      </c>
      <c r="N25" s="2">
        <v>-6.9</v>
      </c>
      <c r="O25">
        <v>1</v>
      </c>
      <c r="P25" s="1">
        <f t="shared" si="0"/>
        <v>0.98909531502423254</v>
      </c>
      <c r="Q25" s="1">
        <f t="shared" si="1"/>
        <v>0.84571890145395789</v>
      </c>
      <c r="R25" s="1">
        <f t="shared" si="2"/>
        <v>0.8406415878144472</v>
      </c>
    </row>
    <row r="26" spans="1:18" x14ac:dyDescent="0.2">
      <c r="A26">
        <v>140</v>
      </c>
      <c r="B26" s="2">
        <v>1979.5</v>
      </c>
      <c r="C26" s="2">
        <v>927.9</v>
      </c>
      <c r="D26" s="2">
        <v>1955.5</v>
      </c>
      <c r="E26" s="2">
        <v>920.4</v>
      </c>
      <c r="F26" s="2">
        <v>1661.3</v>
      </c>
      <c r="G26" s="2">
        <v>884.3</v>
      </c>
      <c r="H26" s="2">
        <v>1651</v>
      </c>
      <c r="I26" s="2">
        <v>872</v>
      </c>
      <c r="J26" s="2">
        <v>-1.2</v>
      </c>
      <c r="K26" s="2">
        <v>-16.100000000000001</v>
      </c>
      <c r="L26" s="2">
        <v>-0.6</v>
      </c>
      <c r="M26" s="2">
        <v>-16.600000000000001</v>
      </c>
      <c r="N26" s="2">
        <v>-4.7</v>
      </c>
      <c r="O26">
        <v>1</v>
      </c>
      <c r="P26" s="1">
        <f t="shared" si="0"/>
        <v>0.98787572619348318</v>
      </c>
      <c r="Q26" s="1">
        <f t="shared" si="1"/>
        <v>0.83925233644859809</v>
      </c>
      <c r="R26" s="1">
        <f t="shared" si="2"/>
        <v>0.83404900227330137</v>
      </c>
    </row>
    <row r="27" spans="1:18" x14ac:dyDescent="0.2">
      <c r="A27">
        <v>160</v>
      </c>
      <c r="B27" s="2">
        <v>2216.1999999999998</v>
      </c>
      <c r="C27" s="2">
        <v>1183.4000000000001</v>
      </c>
      <c r="D27" s="2">
        <v>2190.8000000000002</v>
      </c>
      <c r="E27" s="2">
        <v>1172.0999999999999</v>
      </c>
      <c r="F27" s="2">
        <v>1849.9</v>
      </c>
      <c r="G27" s="2">
        <v>1127.0999999999999</v>
      </c>
      <c r="H27" s="2">
        <v>1838.5</v>
      </c>
      <c r="I27" s="2">
        <v>1120.8</v>
      </c>
      <c r="J27" s="2">
        <v>-1.1000000000000001</v>
      </c>
      <c r="K27" s="2">
        <v>-16.5</v>
      </c>
      <c r="L27" s="2">
        <v>-0.6</v>
      </c>
      <c r="M27" s="2">
        <v>-17</v>
      </c>
      <c r="N27" s="2">
        <v>-4.8</v>
      </c>
      <c r="O27">
        <v>1</v>
      </c>
      <c r="P27" s="1">
        <f t="shared" si="0"/>
        <v>0.98853894052883329</v>
      </c>
      <c r="Q27" s="1">
        <f t="shared" si="1"/>
        <v>0.83471708329573158</v>
      </c>
      <c r="R27" s="1">
        <f t="shared" si="2"/>
        <v>0.82957314321812115</v>
      </c>
    </row>
    <row r="28" spans="1:18" x14ac:dyDescent="0.2">
      <c r="A28">
        <v>180</v>
      </c>
      <c r="B28" s="2">
        <v>2467</v>
      </c>
      <c r="C28" s="2">
        <v>1485.6</v>
      </c>
      <c r="D28" s="2">
        <v>2437</v>
      </c>
      <c r="E28" s="2">
        <v>1472.7</v>
      </c>
      <c r="F28" s="2">
        <v>2047.8</v>
      </c>
      <c r="G28" s="2">
        <v>1409.7</v>
      </c>
      <c r="H28" s="2">
        <v>2037.2</v>
      </c>
      <c r="I28" s="2">
        <v>1403.3</v>
      </c>
      <c r="J28" s="2">
        <v>-1.2</v>
      </c>
      <c r="K28" s="2">
        <v>-17</v>
      </c>
      <c r="L28" s="2">
        <v>-0.5</v>
      </c>
      <c r="M28" s="2">
        <v>-17.399999999999999</v>
      </c>
      <c r="N28" s="2">
        <v>-5.0999999999999996</v>
      </c>
      <c r="O28">
        <v>1</v>
      </c>
      <c r="P28" s="1">
        <f t="shared" si="0"/>
        <v>0.9878394811511958</v>
      </c>
      <c r="Q28" s="1">
        <f t="shared" si="1"/>
        <v>0.83007701661937572</v>
      </c>
      <c r="R28" s="1">
        <f t="shared" si="2"/>
        <v>0.825780299959465</v>
      </c>
    </row>
    <row r="29" spans="1:18" x14ac:dyDescent="0.2">
      <c r="A29">
        <v>200</v>
      </c>
      <c r="B29" s="2">
        <v>2697.2</v>
      </c>
      <c r="C29" s="2">
        <v>1771.3</v>
      </c>
      <c r="D29" s="2">
        <v>2670.1</v>
      </c>
      <c r="E29" s="2">
        <v>1755</v>
      </c>
      <c r="F29" s="2">
        <v>2227.1999999999998</v>
      </c>
      <c r="G29" s="2">
        <v>1683.9</v>
      </c>
      <c r="H29" s="2">
        <v>2214.9</v>
      </c>
      <c r="I29" s="2">
        <v>1659.5</v>
      </c>
      <c r="J29" s="2">
        <v>-1</v>
      </c>
      <c r="K29" s="2">
        <v>-17.399999999999999</v>
      </c>
      <c r="L29" s="2">
        <v>-0.6</v>
      </c>
      <c r="M29" s="2">
        <v>-17.899999999999999</v>
      </c>
      <c r="N29" s="2">
        <v>-4.9000000000000004</v>
      </c>
      <c r="O29">
        <v>1</v>
      </c>
      <c r="P29" s="1">
        <f t="shared" si="0"/>
        <v>0.98995254337831828</v>
      </c>
      <c r="Q29" s="1">
        <f t="shared" si="1"/>
        <v>0.82574521726234618</v>
      </c>
      <c r="R29" s="1">
        <f t="shared" si="2"/>
        <v>0.82118493252261615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A12C3-65E8-3749-A9AC-304E10D2DC73}">
  <dimension ref="A1:R33"/>
  <sheetViews>
    <sheetView workbookViewId="0">
      <selection activeCell="J36" sqref="J36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12.7</v>
      </c>
      <c r="C2" s="2">
        <v>2.2000000000000002</v>
      </c>
      <c r="D2" s="2">
        <v>13.2</v>
      </c>
      <c r="E2" s="2">
        <v>2.2999999999999998</v>
      </c>
      <c r="F2" s="2">
        <v>13.8</v>
      </c>
      <c r="G2" s="2">
        <v>3.3</v>
      </c>
      <c r="H2" s="2">
        <v>12.1</v>
      </c>
      <c r="I2" s="2">
        <v>3</v>
      </c>
      <c r="J2" s="2">
        <v>3.9</v>
      </c>
      <c r="K2" s="2">
        <v>8.6999999999999993</v>
      </c>
      <c r="L2" s="2">
        <v>-12.3</v>
      </c>
      <c r="M2" s="2">
        <v>50</v>
      </c>
      <c r="O2">
        <v>1</v>
      </c>
      <c r="P2" s="1">
        <f t="shared" ref="P2:P29" si="0">D2/B2</f>
        <v>1.0393700787401574</v>
      </c>
      <c r="Q2" s="1">
        <f t="shared" ref="Q2:Q29" si="1">F2/B2</f>
        <v>1.0866141732283465</v>
      </c>
      <c r="R2" s="1">
        <f t="shared" ref="R2:R29" si="2">H2/B2</f>
        <v>0.952755905511811</v>
      </c>
    </row>
    <row r="3" spans="1:18" x14ac:dyDescent="0.2">
      <c r="A3">
        <v>4</v>
      </c>
      <c r="B3" s="2">
        <v>23.5</v>
      </c>
      <c r="C3" s="2">
        <v>2.9</v>
      </c>
      <c r="D3" s="2">
        <v>22.8</v>
      </c>
      <c r="E3" s="2">
        <v>2.8</v>
      </c>
      <c r="F3" s="2">
        <v>25.5</v>
      </c>
      <c r="G3" s="2">
        <v>4</v>
      </c>
      <c r="H3" s="2">
        <v>19.899999999999999</v>
      </c>
      <c r="I3" s="2">
        <v>3.6</v>
      </c>
      <c r="J3" s="2">
        <v>-3</v>
      </c>
      <c r="K3" s="2">
        <v>8.5</v>
      </c>
      <c r="L3" s="2">
        <v>-22</v>
      </c>
      <c r="M3" s="2">
        <v>37.9</v>
      </c>
      <c r="O3">
        <v>1</v>
      </c>
      <c r="P3" s="1">
        <f t="shared" si="0"/>
        <v>0.97021276595744688</v>
      </c>
      <c r="Q3" s="1">
        <f t="shared" si="1"/>
        <v>1.0851063829787233</v>
      </c>
      <c r="R3" s="1">
        <f t="shared" si="2"/>
        <v>0.84680851063829776</v>
      </c>
    </row>
    <row r="4" spans="1:18" x14ac:dyDescent="0.2">
      <c r="A4">
        <v>6</v>
      </c>
      <c r="B4" s="2">
        <v>29.3</v>
      </c>
      <c r="C4" s="2">
        <v>3.4</v>
      </c>
      <c r="D4" s="2">
        <v>30.1</v>
      </c>
      <c r="E4" s="2">
        <v>3.4</v>
      </c>
      <c r="F4" s="2">
        <v>32.9</v>
      </c>
      <c r="G4" s="2">
        <v>4.5999999999999996</v>
      </c>
      <c r="H4" s="2">
        <v>25.9</v>
      </c>
      <c r="I4" s="2">
        <v>4</v>
      </c>
      <c r="J4" s="2">
        <v>2.7</v>
      </c>
      <c r="K4" s="2">
        <v>12.3</v>
      </c>
      <c r="L4" s="2">
        <v>-21.3</v>
      </c>
      <c r="M4" s="2">
        <v>35.299999999999997</v>
      </c>
      <c r="O4">
        <v>1</v>
      </c>
      <c r="P4" s="1">
        <f t="shared" si="0"/>
        <v>1.0273037542662116</v>
      </c>
      <c r="Q4" s="1">
        <f t="shared" si="1"/>
        <v>1.122866894197952</v>
      </c>
      <c r="R4" s="1">
        <f t="shared" si="2"/>
        <v>0.88395904436860062</v>
      </c>
    </row>
    <row r="5" spans="1:18" x14ac:dyDescent="0.2">
      <c r="A5">
        <v>8</v>
      </c>
      <c r="B5" s="2">
        <v>38.1</v>
      </c>
      <c r="C5" s="2">
        <v>4.3</v>
      </c>
      <c r="D5" s="2">
        <v>36.799999999999997</v>
      </c>
      <c r="E5" s="2">
        <v>3.8</v>
      </c>
      <c r="F5" s="2">
        <v>41.7</v>
      </c>
      <c r="G5" s="2">
        <v>5.3</v>
      </c>
      <c r="H5" s="2">
        <v>31.4</v>
      </c>
      <c r="I5" s="2">
        <v>4.5999999999999996</v>
      </c>
      <c r="J5" s="2">
        <v>-3.4</v>
      </c>
      <c r="K5" s="2">
        <v>9.4</v>
      </c>
      <c r="L5" s="2">
        <v>-24.7</v>
      </c>
      <c r="M5" s="2">
        <v>23.3</v>
      </c>
      <c r="O5">
        <v>1</v>
      </c>
      <c r="P5" s="1">
        <f t="shared" si="0"/>
        <v>0.96587926509186339</v>
      </c>
      <c r="Q5" s="1">
        <f t="shared" si="1"/>
        <v>1.094488188976378</v>
      </c>
      <c r="R5" s="1">
        <f t="shared" si="2"/>
        <v>0.82414698162729649</v>
      </c>
    </row>
    <row r="6" spans="1:18" x14ac:dyDescent="0.2">
      <c r="A6">
        <v>10</v>
      </c>
      <c r="B6" s="2">
        <v>43</v>
      </c>
      <c r="C6" s="2">
        <v>4.5999999999999996</v>
      </c>
      <c r="D6" s="2">
        <v>41.7</v>
      </c>
      <c r="E6" s="2">
        <v>4.2</v>
      </c>
      <c r="F6" s="2">
        <v>47.5</v>
      </c>
      <c r="G6" s="2">
        <v>5.9</v>
      </c>
      <c r="H6" s="2">
        <v>35</v>
      </c>
      <c r="I6" s="2">
        <v>5</v>
      </c>
      <c r="J6" s="2">
        <v>-3</v>
      </c>
      <c r="K6" s="2">
        <v>10.5</v>
      </c>
      <c r="L6" s="2">
        <v>-26.3</v>
      </c>
      <c r="M6" s="2">
        <v>28.3</v>
      </c>
      <c r="O6">
        <v>1</v>
      </c>
      <c r="P6" s="1">
        <f t="shared" si="0"/>
        <v>0.96976744186046515</v>
      </c>
      <c r="Q6" s="1">
        <f t="shared" si="1"/>
        <v>1.1046511627906976</v>
      </c>
      <c r="R6" s="1">
        <f t="shared" si="2"/>
        <v>0.81395348837209303</v>
      </c>
    </row>
    <row r="7" spans="1:18" x14ac:dyDescent="0.2">
      <c r="A7">
        <v>12</v>
      </c>
      <c r="B7" s="2">
        <v>47.5</v>
      </c>
      <c r="C7" s="2">
        <v>5.0999999999999996</v>
      </c>
      <c r="D7" s="2">
        <v>45.7</v>
      </c>
      <c r="E7" s="2">
        <v>4.5999999999999996</v>
      </c>
      <c r="F7" s="2">
        <v>50.9</v>
      </c>
      <c r="G7" s="2">
        <v>6.3</v>
      </c>
      <c r="H7" s="2">
        <v>39</v>
      </c>
      <c r="I7" s="2">
        <v>5.6</v>
      </c>
      <c r="J7" s="2">
        <v>-3.8</v>
      </c>
      <c r="K7" s="2">
        <v>7.2</v>
      </c>
      <c r="L7" s="2">
        <v>-23.4</v>
      </c>
      <c r="M7" s="2">
        <v>23.5</v>
      </c>
      <c r="O7">
        <v>1</v>
      </c>
      <c r="P7" s="1">
        <f t="shared" si="0"/>
        <v>0.9621052631578948</v>
      </c>
      <c r="Q7" s="1">
        <f t="shared" si="1"/>
        <v>1.071578947368421</v>
      </c>
      <c r="R7" s="1">
        <f t="shared" si="2"/>
        <v>0.82105263157894737</v>
      </c>
    </row>
    <row r="8" spans="1:18" x14ac:dyDescent="0.2">
      <c r="A8">
        <v>14</v>
      </c>
      <c r="B8" s="2">
        <v>53.6</v>
      </c>
      <c r="C8" s="2">
        <v>5.9</v>
      </c>
      <c r="D8" s="2">
        <v>50.6</v>
      </c>
      <c r="E8" s="2">
        <v>5.3</v>
      </c>
      <c r="F8" s="2">
        <v>56.7</v>
      </c>
      <c r="G8" s="2">
        <v>7</v>
      </c>
      <c r="H8" s="2">
        <v>42.5</v>
      </c>
      <c r="I8" s="2">
        <v>6.1</v>
      </c>
      <c r="J8" s="2">
        <v>-5.6</v>
      </c>
      <c r="K8" s="2">
        <v>5.8</v>
      </c>
      <c r="L8" s="2">
        <v>-25</v>
      </c>
      <c r="M8" s="2">
        <v>18.600000000000001</v>
      </c>
      <c r="O8">
        <v>1</v>
      </c>
      <c r="P8" s="1">
        <f t="shared" si="0"/>
        <v>0.94402985074626866</v>
      </c>
      <c r="Q8" s="1">
        <f t="shared" si="1"/>
        <v>1.0578358208955223</v>
      </c>
      <c r="R8" s="1">
        <f t="shared" si="2"/>
        <v>0.79291044776119401</v>
      </c>
    </row>
    <row r="9" spans="1:18" x14ac:dyDescent="0.2">
      <c r="A9">
        <v>16</v>
      </c>
      <c r="B9" s="2">
        <v>57.7</v>
      </c>
      <c r="C9" s="2">
        <v>7.2</v>
      </c>
      <c r="D9" s="2">
        <v>54.1</v>
      </c>
      <c r="E9" s="2">
        <v>6.8</v>
      </c>
      <c r="F9" s="2">
        <v>61.2</v>
      </c>
      <c r="G9" s="2">
        <v>9.1</v>
      </c>
      <c r="H9" s="2">
        <v>44.7</v>
      </c>
      <c r="I9" s="2">
        <v>7.4</v>
      </c>
      <c r="J9" s="2">
        <v>-6.2</v>
      </c>
      <c r="K9" s="2">
        <v>6.1</v>
      </c>
      <c r="L9" s="2">
        <v>-27</v>
      </c>
      <c r="M9" s="2">
        <v>26.4</v>
      </c>
      <c r="O9">
        <v>1</v>
      </c>
      <c r="P9" s="1">
        <f t="shared" si="0"/>
        <v>0.93760831889081453</v>
      </c>
      <c r="Q9" s="1">
        <f t="shared" si="1"/>
        <v>1.0606585788561524</v>
      </c>
      <c r="R9" s="1">
        <f t="shared" si="2"/>
        <v>0.77469670710571925</v>
      </c>
    </row>
    <row r="10" spans="1:18" x14ac:dyDescent="0.2">
      <c r="A10">
        <v>18</v>
      </c>
      <c r="B10" s="2">
        <v>62.6</v>
      </c>
      <c r="C10" s="2">
        <v>9.5</v>
      </c>
      <c r="D10" s="2">
        <v>57.5</v>
      </c>
      <c r="E10" s="2">
        <v>8.1</v>
      </c>
      <c r="F10" s="2">
        <v>65.2</v>
      </c>
      <c r="G10" s="2">
        <v>10.9</v>
      </c>
      <c r="H10" s="2">
        <v>46.8</v>
      </c>
      <c r="I10" s="2">
        <v>9.3000000000000007</v>
      </c>
      <c r="J10" s="2">
        <v>-8.1</v>
      </c>
      <c r="K10" s="2">
        <v>4.2</v>
      </c>
      <c r="L10" s="2">
        <v>-28.2</v>
      </c>
      <c r="M10" s="2">
        <v>14.7</v>
      </c>
      <c r="O10">
        <v>1</v>
      </c>
      <c r="P10" s="1">
        <f t="shared" si="0"/>
        <v>0.91853035143769968</v>
      </c>
      <c r="Q10" s="1">
        <f t="shared" si="1"/>
        <v>1.0415335463258786</v>
      </c>
      <c r="R10" s="1">
        <f t="shared" si="2"/>
        <v>0.74760383386581464</v>
      </c>
    </row>
    <row r="11" spans="1:18" x14ac:dyDescent="0.2">
      <c r="A11">
        <v>20</v>
      </c>
      <c r="B11" s="2">
        <v>70.8</v>
      </c>
      <c r="C11" s="2">
        <v>10.3</v>
      </c>
      <c r="D11" s="2">
        <v>61.7</v>
      </c>
      <c r="E11" s="2">
        <v>9</v>
      </c>
      <c r="F11" s="2">
        <v>71.5</v>
      </c>
      <c r="G11" s="2">
        <v>11.7</v>
      </c>
      <c r="H11" s="2">
        <v>50.1</v>
      </c>
      <c r="I11" s="2">
        <v>10.3</v>
      </c>
      <c r="J11" s="2">
        <v>-12.9</v>
      </c>
      <c r="K11" s="2">
        <v>1</v>
      </c>
      <c r="L11" s="2">
        <v>-29.9</v>
      </c>
      <c r="M11" s="2">
        <v>13.6</v>
      </c>
      <c r="O11">
        <v>1</v>
      </c>
      <c r="P11" s="1">
        <f t="shared" si="0"/>
        <v>0.87146892655367236</v>
      </c>
      <c r="Q11" s="1">
        <f t="shared" si="1"/>
        <v>1.0098870056497176</v>
      </c>
      <c r="R11" s="1">
        <f t="shared" si="2"/>
        <v>0.7076271186440678</v>
      </c>
    </row>
    <row r="12" spans="1:18" x14ac:dyDescent="0.2">
      <c r="A12">
        <v>22</v>
      </c>
      <c r="B12" s="2">
        <v>71.400000000000006</v>
      </c>
      <c r="C12" s="2">
        <v>9.6</v>
      </c>
      <c r="D12" s="2">
        <v>65.3</v>
      </c>
      <c r="E12" s="2">
        <v>8.3000000000000007</v>
      </c>
      <c r="F12" s="2">
        <v>73.8</v>
      </c>
      <c r="G12" s="2">
        <v>10.8</v>
      </c>
      <c r="H12" s="2">
        <v>52.5</v>
      </c>
      <c r="I12" s="2">
        <v>9.1</v>
      </c>
      <c r="J12" s="2">
        <v>-8.5</v>
      </c>
      <c r="K12" s="2">
        <v>3.4</v>
      </c>
      <c r="L12" s="2">
        <v>-28.9</v>
      </c>
      <c r="M12" s="2">
        <v>12.5</v>
      </c>
      <c r="O12">
        <v>1</v>
      </c>
      <c r="P12" s="1">
        <f t="shared" si="0"/>
        <v>0.91456582633053207</v>
      </c>
      <c r="Q12" s="1">
        <f t="shared" si="1"/>
        <v>1.0336134453781511</v>
      </c>
      <c r="R12" s="1">
        <f t="shared" si="2"/>
        <v>0.73529411764705876</v>
      </c>
    </row>
    <row r="13" spans="1:18" x14ac:dyDescent="0.2">
      <c r="A13">
        <v>24</v>
      </c>
      <c r="B13" s="2">
        <v>73.7</v>
      </c>
      <c r="C13" s="2">
        <v>9.9</v>
      </c>
      <c r="D13" s="2">
        <v>67.5</v>
      </c>
      <c r="E13" s="2">
        <v>9.1</v>
      </c>
      <c r="F13" s="2">
        <v>77.2</v>
      </c>
      <c r="G13" s="2">
        <v>11.2</v>
      </c>
      <c r="H13" s="2">
        <v>54.3</v>
      </c>
      <c r="I13" s="2">
        <v>9.6</v>
      </c>
      <c r="J13" s="2">
        <v>-8.4</v>
      </c>
      <c r="K13" s="2">
        <v>4.7</v>
      </c>
      <c r="L13" s="2">
        <v>-29.7</v>
      </c>
      <c r="M13" s="2">
        <v>13.1</v>
      </c>
      <c r="O13">
        <v>1</v>
      </c>
      <c r="P13" s="1">
        <f t="shared" si="0"/>
        <v>0.91587516960651283</v>
      </c>
      <c r="Q13" s="1">
        <f t="shared" si="1"/>
        <v>1.0474898236092265</v>
      </c>
      <c r="R13" s="1">
        <f t="shared" si="2"/>
        <v>0.73677069199457257</v>
      </c>
    </row>
    <row r="14" spans="1:18" x14ac:dyDescent="0.2">
      <c r="A14">
        <v>26</v>
      </c>
      <c r="B14" s="2">
        <v>78.099999999999994</v>
      </c>
      <c r="C14" s="2">
        <v>9.6999999999999993</v>
      </c>
      <c r="D14" s="2">
        <v>71.099999999999994</v>
      </c>
      <c r="E14" s="2">
        <v>9</v>
      </c>
      <c r="F14" s="2">
        <v>81.099999999999994</v>
      </c>
      <c r="G14" s="2">
        <v>11.1</v>
      </c>
      <c r="H14" s="2">
        <v>55.8</v>
      </c>
      <c r="I14" s="2">
        <v>9.3000000000000007</v>
      </c>
      <c r="J14" s="2">
        <v>-9</v>
      </c>
      <c r="K14" s="2">
        <v>3.8</v>
      </c>
      <c r="L14" s="2">
        <v>-31.2</v>
      </c>
      <c r="M14" s="2">
        <v>14.4</v>
      </c>
      <c r="O14">
        <v>1</v>
      </c>
      <c r="P14" s="1">
        <f t="shared" si="0"/>
        <v>0.91037131882202305</v>
      </c>
      <c r="Q14" s="1">
        <f t="shared" si="1"/>
        <v>1.0384122919334187</v>
      </c>
      <c r="R14" s="1">
        <f t="shared" si="2"/>
        <v>0.71446862996158778</v>
      </c>
    </row>
    <row r="15" spans="1:18" x14ac:dyDescent="0.2">
      <c r="A15">
        <v>28</v>
      </c>
      <c r="B15" s="2">
        <v>83.6</v>
      </c>
      <c r="C15" s="2">
        <v>11.3</v>
      </c>
      <c r="D15" s="2">
        <v>74.2</v>
      </c>
      <c r="E15" s="2">
        <v>9.9</v>
      </c>
      <c r="F15" s="2">
        <v>79.8</v>
      </c>
      <c r="G15" s="2">
        <v>12.3</v>
      </c>
      <c r="H15" s="2">
        <v>58.2</v>
      </c>
      <c r="I15" s="2">
        <v>10.3</v>
      </c>
      <c r="J15" s="2">
        <v>-11.2</v>
      </c>
      <c r="K15" s="2">
        <v>-4.5</v>
      </c>
      <c r="L15" s="2">
        <v>-27.1</v>
      </c>
      <c r="M15" s="2">
        <v>8.8000000000000007</v>
      </c>
      <c r="O15">
        <v>1</v>
      </c>
      <c r="P15" s="1">
        <f t="shared" si="0"/>
        <v>0.88755980861244033</v>
      </c>
      <c r="Q15" s="1">
        <f t="shared" si="1"/>
        <v>0.95454545454545459</v>
      </c>
      <c r="R15" s="1">
        <f t="shared" si="2"/>
        <v>0.69617224880382789</v>
      </c>
    </row>
    <row r="16" spans="1:18" x14ac:dyDescent="0.2">
      <c r="A16">
        <v>30</v>
      </c>
      <c r="B16" s="2">
        <v>86.4</v>
      </c>
      <c r="C16" s="2">
        <v>11.4</v>
      </c>
      <c r="D16" s="2">
        <v>77.8</v>
      </c>
      <c r="E16" s="2">
        <v>10.5</v>
      </c>
      <c r="F16" s="2">
        <v>85.2</v>
      </c>
      <c r="G16" s="2">
        <v>12.1</v>
      </c>
      <c r="H16" s="2">
        <v>60.1</v>
      </c>
      <c r="I16" s="2">
        <v>10.199999999999999</v>
      </c>
      <c r="J16" s="2">
        <v>-10</v>
      </c>
      <c r="K16" s="2">
        <v>-1.4</v>
      </c>
      <c r="L16" s="2">
        <v>-29.5</v>
      </c>
      <c r="M16" s="2">
        <v>6.1</v>
      </c>
      <c r="O16">
        <v>1</v>
      </c>
      <c r="P16" s="1">
        <f t="shared" si="0"/>
        <v>0.90046296296296291</v>
      </c>
      <c r="Q16" s="1">
        <f t="shared" si="1"/>
        <v>0.98611111111111105</v>
      </c>
      <c r="R16" s="1">
        <f t="shared" si="2"/>
        <v>0.69560185185185186</v>
      </c>
    </row>
    <row r="17" spans="1:18" x14ac:dyDescent="0.2">
      <c r="A17">
        <v>32</v>
      </c>
      <c r="B17" s="2">
        <v>91</v>
      </c>
      <c r="C17" s="2">
        <v>15</v>
      </c>
      <c r="D17" s="2">
        <v>80.5</v>
      </c>
      <c r="E17" s="2">
        <v>13.6</v>
      </c>
      <c r="F17" s="2">
        <v>86.4</v>
      </c>
      <c r="G17" s="2">
        <v>16.2</v>
      </c>
      <c r="H17" s="2">
        <v>62.4</v>
      </c>
      <c r="I17" s="2">
        <v>14</v>
      </c>
      <c r="J17" s="2">
        <v>-11.5</v>
      </c>
      <c r="K17" s="2">
        <v>-5.0999999999999996</v>
      </c>
      <c r="L17" s="2">
        <v>-27.8</v>
      </c>
      <c r="M17" s="2">
        <v>8</v>
      </c>
      <c r="O17">
        <v>1</v>
      </c>
      <c r="P17" s="1">
        <f t="shared" si="0"/>
        <v>0.88461538461538458</v>
      </c>
      <c r="Q17" s="1">
        <f t="shared" si="1"/>
        <v>0.94945054945054952</v>
      </c>
      <c r="R17" s="1">
        <f t="shared" si="2"/>
        <v>0.68571428571428572</v>
      </c>
    </row>
    <row r="18" spans="1:18" x14ac:dyDescent="0.2">
      <c r="A18">
        <v>34</v>
      </c>
      <c r="B18" s="2">
        <v>92.8</v>
      </c>
      <c r="C18" s="2">
        <v>16.3</v>
      </c>
      <c r="D18" s="2">
        <v>83.1</v>
      </c>
      <c r="E18" s="2">
        <v>14.3</v>
      </c>
      <c r="F18" s="2">
        <v>88.6</v>
      </c>
      <c r="G18" s="2">
        <v>17.2</v>
      </c>
      <c r="H18" s="2">
        <v>63.7</v>
      </c>
      <c r="I18" s="2">
        <v>14.8</v>
      </c>
      <c r="J18" s="2">
        <v>-10.5</v>
      </c>
      <c r="K18" s="2">
        <v>-4.5</v>
      </c>
      <c r="L18" s="2">
        <v>-28.1</v>
      </c>
      <c r="M18" s="2">
        <v>5.5</v>
      </c>
      <c r="O18">
        <v>1</v>
      </c>
      <c r="P18" s="1">
        <f t="shared" si="0"/>
        <v>0.89547413793103448</v>
      </c>
      <c r="Q18" s="1">
        <f t="shared" si="1"/>
        <v>0.95474137931034475</v>
      </c>
      <c r="R18" s="1">
        <f t="shared" si="2"/>
        <v>0.68642241379310354</v>
      </c>
    </row>
    <row r="19" spans="1:18" x14ac:dyDescent="0.2">
      <c r="A19">
        <v>36</v>
      </c>
      <c r="B19" s="2">
        <v>94.7</v>
      </c>
      <c r="C19" s="2">
        <v>13.7</v>
      </c>
      <c r="D19" s="2">
        <v>86.5</v>
      </c>
      <c r="E19" s="2">
        <v>12.3</v>
      </c>
      <c r="F19" s="2">
        <v>91.6</v>
      </c>
      <c r="G19" s="2">
        <v>14.1</v>
      </c>
      <c r="H19" s="2">
        <v>65.8</v>
      </c>
      <c r="I19" s="2">
        <v>12.1</v>
      </c>
      <c r="J19" s="2">
        <v>-8.6999999999999993</v>
      </c>
      <c r="K19" s="2">
        <v>-3.3</v>
      </c>
      <c r="L19" s="2">
        <v>-28.2</v>
      </c>
      <c r="M19" s="2">
        <v>2.9</v>
      </c>
      <c r="O19">
        <v>1</v>
      </c>
      <c r="P19" s="1">
        <f t="shared" si="0"/>
        <v>0.91341077085533262</v>
      </c>
      <c r="Q19" s="1">
        <f t="shared" si="1"/>
        <v>0.9672650475184793</v>
      </c>
      <c r="R19" s="1">
        <f t="shared" si="2"/>
        <v>0.69482576557550157</v>
      </c>
    </row>
    <row r="20" spans="1:18" x14ac:dyDescent="0.2">
      <c r="A20">
        <v>38</v>
      </c>
      <c r="B20" s="2">
        <v>100</v>
      </c>
      <c r="C20" s="2">
        <v>16</v>
      </c>
      <c r="D20" s="2">
        <v>89</v>
      </c>
      <c r="E20" s="2">
        <v>14</v>
      </c>
      <c r="F20" s="2">
        <v>94</v>
      </c>
      <c r="G20" s="2">
        <v>16</v>
      </c>
      <c r="H20" s="2">
        <v>67.7</v>
      </c>
      <c r="I20" s="2">
        <v>13.4</v>
      </c>
      <c r="J20" s="2">
        <v>-11</v>
      </c>
      <c r="K20" s="2">
        <v>-6</v>
      </c>
      <c r="L20" s="2">
        <v>-28</v>
      </c>
      <c r="M20" s="2">
        <v>0</v>
      </c>
      <c r="O20">
        <v>1</v>
      </c>
      <c r="P20" s="1">
        <f t="shared" si="0"/>
        <v>0.89</v>
      </c>
      <c r="Q20" s="1">
        <f t="shared" si="1"/>
        <v>0.94</v>
      </c>
      <c r="R20" s="1">
        <f t="shared" si="2"/>
        <v>0.67700000000000005</v>
      </c>
    </row>
    <row r="21" spans="1:18" x14ac:dyDescent="0.2">
      <c r="A21">
        <v>40</v>
      </c>
      <c r="B21" s="2">
        <v>102.7</v>
      </c>
      <c r="C21" s="2">
        <v>15</v>
      </c>
      <c r="D21" s="2">
        <v>92.4</v>
      </c>
      <c r="E21" s="2">
        <v>13.4</v>
      </c>
      <c r="F21" s="2">
        <v>96.7</v>
      </c>
      <c r="G21" s="2">
        <v>15</v>
      </c>
      <c r="H21" s="2">
        <v>70.099999999999994</v>
      </c>
      <c r="I21" s="2">
        <v>13.4</v>
      </c>
      <c r="J21" s="2">
        <v>-10</v>
      </c>
      <c r="K21" s="2">
        <v>-5.8</v>
      </c>
      <c r="L21" s="2">
        <v>-27.5</v>
      </c>
      <c r="M21" s="2">
        <v>0</v>
      </c>
      <c r="O21">
        <v>1</v>
      </c>
      <c r="P21" s="1">
        <f t="shared" si="0"/>
        <v>0.89970788704965921</v>
      </c>
      <c r="Q21" s="1">
        <f t="shared" si="1"/>
        <v>0.94157740993184036</v>
      </c>
      <c r="R21" s="1">
        <f t="shared" si="2"/>
        <v>0.68257059396299891</v>
      </c>
    </row>
    <row r="22" spans="1:18" x14ac:dyDescent="0.2">
      <c r="A22">
        <v>60</v>
      </c>
      <c r="B22" s="2">
        <v>140.30000000000001</v>
      </c>
      <c r="C22" s="2">
        <v>25.2</v>
      </c>
      <c r="D22" s="2">
        <v>119.4</v>
      </c>
      <c r="E22" s="2">
        <v>21.8</v>
      </c>
      <c r="F22" s="2">
        <v>118.9</v>
      </c>
      <c r="G22" s="2">
        <v>22.5</v>
      </c>
      <c r="H22" s="2">
        <v>85.1</v>
      </c>
      <c r="I22" s="2">
        <v>18.899999999999999</v>
      </c>
      <c r="J22" s="2">
        <v>-14.9</v>
      </c>
      <c r="K22" s="2">
        <v>-15.3</v>
      </c>
      <c r="L22" s="2">
        <v>-28.4</v>
      </c>
      <c r="M22" s="2">
        <v>-10.7</v>
      </c>
      <c r="O22">
        <v>1</v>
      </c>
      <c r="P22" s="1">
        <f t="shared" si="0"/>
        <v>0.85103349964362074</v>
      </c>
      <c r="Q22" s="1">
        <f t="shared" si="1"/>
        <v>0.84746970776906627</v>
      </c>
      <c r="R22" s="1">
        <f t="shared" si="2"/>
        <v>0.60655737704918022</v>
      </c>
    </row>
    <row r="23" spans="1:18" x14ac:dyDescent="0.2">
      <c r="A23">
        <v>80</v>
      </c>
      <c r="B23" s="2">
        <v>168.3</v>
      </c>
      <c r="C23" s="2">
        <v>36.299999999999997</v>
      </c>
      <c r="D23" s="2">
        <v>143.6</v>
      </c>
      <c r="E23" s="2">
        <v>31.8</v>
      </c>
      <c r="F23" s="2">
        <v>132.4</v>
      </c>
      <c r="G23" s="2">
        <v>29.7</v>
      </c>
      <c r="H23" s="2">
        <v>98</v>
      </c>
      <c r="I23" s="2">
        <v>25</v>
      </c>
      <c r="J23" s="2">
        <v>-14.7</v>
      </c>
      <c r="K23" s="2">
        <v>-21.3</v>
      </c>
      <c r="L23" s="2">
        <v>-26</v>
      </c>
      <c r="M23" s="2">
        <v>-18.2</v>
      </c>
      <c r="O23">
        <v>1</v>
      </c>
      <c r="P23" s="1">
        <f t="shared" si="0"/>
        <v>0.85323826500297084</v>
      </c>
      <c r="Q23" s="1">
        <f t="shared" si="1"/>
        <v>0.78669043374925729</v>
      </c>
      <c r="R23" s="1">
        <f t="shared" si="2"/>
        <v>0.58229352346999397</v>
      </c>
    </row>
    <row r="24" spans="1:18" x14ac:dyDescent="0.2">
      <c r="A24">
        <v>100</v>
      </c>
      <c r="B24" s="2">
        <v>199</v>
      </c>
      <c r="C24" s="2">
        <v>51.8</v>
      </c>
      <c r="D24" s="2">
        <v>167.9</v>
      </c>
      <c r="E24" s="2">
        <v>44</v>
      </c>
      <c r="F24" s="2">
        <v>150.19999999999999</v>
      </c>
      <c r="G24" s="2">
        <v>39</v>
      </c>
      <c r="H24" s="2">
        <v>111</v>
      </c>
      <c r="I24" s="2">
        <v>34.5</v>
      </c>
      <c r="J24" s="2">
        <v>-15.6</v>
      </c>
      <c r="K24" s="2">
        <v>-24.5</v>
      </c>
      <c r="L24" s="2">
        <v>-26.1</v>
      </c>
      <c r="M24" s="2">
        <v>-24.7</v>
      </c>
      <c r="O24">
        <v>1</v>
      </c>
      <c r="P24" s="1">
        <f t="shared" si="0"/>
        <v>0.8437185929648241</v>
      </c>
      <c r="Q24" s="1">
        <f t="shared" si="1"/>
        <v>0.75477386934673363</v>
      </c>
      <c r="R24" s="1">
        <f t="shared" si="2"/>
        <v>0.55778894472361806</v>
      </c>
    </row>
    <row r="25" spans="1:18" x14ac:dyDescent="0.2">
      <c r="A25">
        <v>120</v>
      </c>
      <c r="B25" s="2">
        <v>218.9</v>
      </c>
      <c r="C25" s="2">
        <v>82.3</v>
      </c>
      <c r="D25" s="2">
        <v>190.1</v>
      </c>
      <c r="E25" s="2">
        <v>72.599999999999994</v>
      </c>
      <c r="F25" s="2">
        <v>157.30000000000001</v>
      </c>
      <c r="G25" s="2">
        <v>59.7</v>
      </c>
      <c r="H25" s="2">
        <v>121.2</v>
      </c>
      <c r="I25" s="2">
        <v>51.5</v>
      </c>
      <c r="J25" s="2">
        <v>-13.2</v>
      </c>
      <c r="K25" s="2">
        <v>-28.1</v>
      </c>
      <c r="L25" s="2">
        <v>-22.9</v>
      </c>
      <c r="M25" s="2">
        <v>-27.5</v>
      </c>
      <c r="O25">
        <v>1</v>
      </c>
      <c r="P25" s="1">
        <f t="shared" si="0"/>
        <v>0.86843307446322515</v>
      </c>
      <c r="Q25" s="1">
        <f t="shared" si="1"/>
        <v>0.71859296482412061</v>
      </c>
      <c r="R25" s="1">
        <f t="shared" si="2"/>
        <v>0.55367747830059388</v>
      </c>
    </row>
    <row r="26" spans="1:18" x14ac:dyDescent="0.2">
      <c r="A26">
        <v>140</v>
      </c>
      <c r="B26" s="2">
        <v>243.2</v>
      </c>
      <c r="C26" s="2">
        <v>113.9</v>
      </c>
      <c r="D26" s="2">
        <v>207.2</v>
      </c>
      <c r="E26" s="2">
        <v>99.4</v>
      </c>
      <c r="F26" s="2">
        <v>169.5</v>
      </c>
      <c r="G26" s="2">
        <v>79</v>
      </c>
      <c r="H26" s="2">
        <v>130.4</v>
      </c>
      <c r="I26" s="2">
        <v>67.8</v>
      </c>
      <c r="J26" s="2">
        <v>-14.8</v>
      </c>
      <c r="K26" s="2">
        <v>-30.3</v>
      </c>
      <c r="L26" s="2">
        <v>-23.1</v>
      </c>
      <c r="M26" s="2">
        <v>-30.6</v>
      </c>
      <c r="O26">
        <v>1</v>
      </c>
      <c r="P26" s="1">
        <f t="shared" si="0"/>
        <v>0.85197368421052633</v>
      </c>
      <c r="Q26" s="1">
        <f t="shared" si="1"/>
        <v>0.69695723684210531</v>
      </c>
      <c r="R26" s="1">
        <f t="shared" si="2"/>
        <v>0.53618421052631582</v>
      </c>
    </row>
    <row r="27" spans="1:18" x14ac:dyDescent="0.2">
      <c r="A27">
        <v>160</v>
      </c>
      <c r="B27" s="2">
        <v>270.7</v>
      </c>
      <c r="C27" s="2">
        <v>130.30000000000001</v>
      </c>
      <c r="D27" s="2">
        <v>228.8</v>
      </c>
      <c r="E27" s="2">
        <v>111.5</v>
      </c>
      <c r="F27" s="2">
        <v>181.3</v>
      </c>
      <c r="G27" s="2">
        <v>85.5</v>
      </c>
      <c r="H27" s="2">
        <v>140.19999999999999</v>
      </c>
      <c r="I27" s="2">
        <v>73</v>
      </c>
      <c r="J27" s="2">
        <v>-15.5</v>
      </c>
      <c r="K27" s="2">
        <v>-33</v>
      </c>
      <c r="L27" s="2">
        <v>-22.7</v>
      </c>
      <c r="M27" s="2">
        <v>-34.4</v>
      </c>
      <c r="O27">
        <v>1</v>
      </c>
      <c r="P27" s="1">
        <f t="shared" si="0"/>
        <v>0.84521610639083866</v>
      </c>
      <c r="Q27" s="1">
        <f t="shared" si="1"/>
        <v>0.66974510528260078</v>
      </c>
      <c r="R27" s="1">
        <f t="shared" si="2"/>
        <v>0.51791651274473582</v>
      </c>
    </row>
    <row r="28" spans="1:18" x14ac:dyDescent="0.2">
      <c r="A28">
        <v>180</v>
      </c>
      <c r="B28" s="2">
        <v>290.3</v>
      </c>
      <c r="C28" s="2">
        <v>113.8</v>
      </c>
      <c r="D28" s="2">
        <v>247.8</v>
      </c>
      <c r="E28" s="2">
        <v>99.3</v>
      </c>
      <c r="F28" s="2">
        <v>187.4</v>
      </c>
      <c r="G28" s="2">
        <v>71.7</v>
      </c>
      <c r="H28" s="2">
        <v>146.6</v>
      </c>
      <c r="I28" s="2">
        <v>61.7</v>
      </c>
      <c r="J28" s="2">
        <v>-14.6</v>
      </c>
      <c r="K28" s="2">
        <v>-35.4</v>
      </c>
      <c r="L28" s="2">
        <v>-21.8</v>
      </c>
      <c r="M28" s="2">
        <v>-37</v>
      </c>
      <c r="O28">
        <v>1</v>
      </c>
      <c r="P28" s="1">
        <f t="shared" si="0"/>
        <v>0.85359972442301069</v>
      </c>
      <c r="Q28" s="1">
        <f t="shared" si="1"/>
        <v>0.64553909748535998</v>
      </c>
      <c r="R28" s="1">
        <f t="shared" si="2"/>
        <v>0.5049948329314502</v>
      </c>
    </row>
    <row r="29" spans="1:18" x14ac:dyDescent="0.2">
      <c r="A29">
        <v>200</v>
      </c>
      <c r="B29" s="2">
        <v>308.10000000000002</v>
      </c>
      <c r="C29" s="2">
        <v>132.30000000000001</v>
      </c>
      <c r="D29" s="2">
        <v>263.89999999999998</v>
      </c>
      <c r="E29" s="2">
        <v>115.2</v>
      </c>
      <c r="F29" s="2">
        <v>194</v>
      </c>
      <c r="G29" s="2">
        <v>80.400000000000006</v>
      </c>
      <c r="H29" s="2">
        <v>155.6</v>
      </c>
      <c r="I29" s="2">
        <v>70.7</v>
      </c>
      <c r="J29" s="2">
        <v>-14.3</v>
      </c>
      <c r="K29" s="2">
        <v>-37</v>
      </c>
      <c r="L29" s="2">
        <v>-19.8</v>
      </c>
      <c r="M29" s="2">
        <v>-39.200000000000003</v>
      </c>
      <c r="O29">
        <v>1</v>
      </c>
      <c r="P29" s="1">
        <f t="shared" si="0"/>
        <v>0.85654008438818552</v>
      </c>
      <c r="Q29" s="1">
        <f t="shared" si="1"/>
        <v>0.62966569295683217</v>
      </c>
      <c r="R29" s="1">
        <f t="shared" si="2"/>
        <v>0.50503083414475813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84AA-9155-CC4E-B6E2-85DE0BB2105C}">
  <dimension ref="A1:R33"/>
  <sheetViews>
    <sheetView workbookViewId="0">
      <selection activeCell="U12" sqref="U12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54</v>
      </c>
      <c r="C2" s="2">
        <v>8.6999999999999993</v>
      </c>
      <c r="D2" s="2">
        <v>25.2</v>
      </c>
      <c r="E2" s="2">
        <v>8.6999999999999993</v>
      </c>
      <c r="F2" s="2">
        <v>59.6</v>
      </c>
      <c r="G2" s="2">
        <v>7.9</v>
      </c>
      <c r="H2" s="2">
        <v>25.7</v>
      </c>
      <c r="I2" s="2">
        <v>8</v>
      </c>
      <c r="J2" s="2">
        <v>-53.3</v>
      </c>
      <c r="K2" s="2">
        <v>10.4</v>
      </c>
      <c r="L2" s="2">
        <v>-56.9</v>
      </c>
      <c r="M2" s="2">
        <v>-9.1999999999999993</v>
      </c>
      <c r="O2">
        <v>1</v>
      </c>
      <c r="P2" s="1">
        <f t="shared" ref="P2:P29" si="0">D2/B2</f>
        <v>0.46666666666666667</v>
      </c>
      <c r="Q2" s="1">
        <f t="shared" ref="Q2:Q29" si="1">F2/B2</f>
        <v>1.1037037037037036</v>
      </c>
      <c r="R2" s="1">
        <f t="shared" ref="R2:R29" si="2">H2/B2</f>
        <v>0.47592592592592592</v>
      </c>
    </row>
    <row r="3" spans="1:18" x14ac:dyDescent="0.2">
      <c r="A3">
        <v>4</v>
      </c>
      <c r="B3" s="2">
        <v>84</v>
      </c>
      <c r="C3" s="2">
        <v>11.4</v>
      </c>
      <c r="D3" s="2">
        <v>47.3</v>
      </c>
      <c r="E3" s="2">
        <v>10.4</v>
      </c>
      <c r="F3" s="2">
        <v>106.5</v>
      </c>
      <c r="G3" s="2">
        <v>10.1</v>
      </c>
      <c r="H3" s="2">
        <v>47.2</v>
      </c>
      <c r="I3" s="2">
        <v>9.3000000000000007</v>
      </c>
      <c r="J3" s="2">
        <v>-43.7</v>
      </c>
      <c r="K3" s="2">
        <v>26.8</v>
      </c>
      <c r="L3" s="2">
        <v>-55.7</v>
      </c>
      <c r="M3" s="2">
        <v>-11.4</v>
      </c>
      <c r="O3">
        <v>1</v>
      </c>
      <c r="P3" s="1">
        <f t="shared" si="0"/>
        <v>0.56309523809523809</v>
      </c>
      <c r="Q3" s="1">
        <f t="shared" si="1"/>
        <v>1.2678571428571428</v>
      </c>
      <c r="R3" s="1">
        <f t="shared" si="2"/>
        <v>0.56190476190476191</v>
      </c>
    </row>
    <row r="4" spans="1:18" x14ac:dyDescent="0.2">
      <c r="A4">
        <v>6</v>
      </c>
      <c r="B4" s="2">
        <v>105.9</v>
      </c>
      <c r="C4" s="2">
        <v>13.8</v>
      </c>
      <c r="D4" s="2">
        <v>64.599999999999994</v>
      </c>
      <c r="E4" s="2">
        <v>12</v>
      </c>
      <c r="F4" s="2">
        <v>136</v>
      </c>
      <c r="G4" s="2">
        <v>11.8</v>
      </c>
      <c r="H4" s="2">
        <v>63.9</v>
      </c>
      <c r="I4" s="2">
        <v>10.3</v>
      </c>
      <c r="J4" s="2">
        <v>-39</v>
      </c>
      <c r="K4" s="2">
        <v>28.4</v>
      </c>
      <c r="L4" s="2">
        <v>-53</v>
      </c>
      <c r="M4" s="2">
        <v>-14.5</v>
      </c>
      <c r="O4">
        <v>1</v>
      </c>
      <c r="P4" s="1">
        <f t="shared" si="0"/>
        <v>0.61000944287063263</v>
      </c>
      <c r="Q4" s="1">
        <f t="shared" si="1"/>
        <v>1.2842304060434371</v>
      </c>
      <c r="R4" s="1">
        <f t="shared" si="2"/>
        <v>0.60339943342776203</v>
      </c>
    </row>
    <row r="5" spans="1:18" x14ac:dyDescent="0.2">
      <c r="A5">
        <v>8</v>
      </c>
      <c r="B5" s="2">
        <v>127.3</v>
      </c>
      <c r="C5" s="2">
        <v>16.2</v>
      </c>
      <c r="D5" s="2">
        <v>82.9</v>
      </c>
      <c r="E5" s="2">
        <v>13.1</v>
      </c>
      <c r="F5" s="2">
        <v>162.5</v>
      </c>
      <c r="G5" s="2">
        <v>13.5</v>
      </c>
      <c r="H5" s="2">
        <v>82.6</v>
      </c>
      <c r="I5" s="2">
        <v>11.4</v>
      </c>
      <c r="J5" s="2">
        <v>-34.9</v>
      </c>
      <c r="K5" s="2">
        <v>27.7</v>
      </c>
      <c r="L5" s="2">
        <v>-49.2</v>
      </c>
      <c r="M5" s="2">
        <v>-16.7</v>
      </c>
      <c r="O5">
        <v>1</v>
      </c>
      <c r="P5" s="1">
        <f t="shared" si="0"/>
        <v>0.65121759622937947</v>
      </c>
      <c r="Q5" s="1">
        <f t="shared" si="1"/>
        <v>1.2765121759622937</v>
      </c>
      <c r="R5" s="1">
        <f t="shared" si="2"/>
        <v>0.64886095836606439</v>
      </c>
    </row>
    <row r="6" spans="1:18" x14ac:dyDescent="0.2">
      <c r="A6">
        <v>10</v>
      </c>
      <c r="B6" s="2">
        <v>148.80000000000001</v>
      </c>
      <c r="C6" s="2">
        <v>18.7</v>
      </c>
      <c r="D6" s="2">
        <v>98.1</v>
      </c>
      <c r="E6" s="2">
        <v>14.8</v>
      </c>
      <c r="F6" s="2">
        <v>181.4</v>
      </c>
      <c r="G6" s="2">
        <v>15.2</v>
      </c>
      <c r="H6" s="2">
        <v>95</v>
      </c>
      <c r="I6" s="2">
        <v>13</v>
      </c>
      <c r="J6" s="2">
        <v>-34.1</v>
      </c>
      <c r="K6" s="2">
        <v>21.9</v>
      </c>
      <c r="L6" s="2">
        <v>-47.6</v>
      </c>
      <c r="M6" s="2">
        <v>-18.7</v>
      </c>
      <c r="O6">
        <v>1</v>
      </c>
      <c r="P6" s="1">
        <f t="shared" si="0"/>
        <v>0.65927419354838701</v>
      </c>
      <c r="Q6" s="1">
        <f t="shared" si="1"/>
        <v>1.2190860215053763</v>
      </c>
      <c r="R6" s="1">
        <f t="shared" si="2"/>
        <v>0.63844086021505375</v>
      </c>
    </row>
    <row r="7" spans="1:18" x14ac:dyDescent="0.2">
      <c r="A7">
        <v>12</v>
      </c>
      <c r="B7" s="2">
        <v>162</v>
      </c>
      <c r="C7" s="2">
        <v>20.7</v>
      </c>
      <c r="D7" s="2">
        <v>109.8</v>
      </c>
      <c r="E7" s="2">
        <v>16.3</v>
      </c>
      <c r="F7" s="2">
        <v>197.1</v>
      </c>
      <c r="G7" s="2">
        <v>16.7</v>
      </c>
      <c r="H7" s="2">
        <v>104.7</v>
      </c>
      <c r="I7" s="2">
        <v>13.9</v>
      </c>
      <c r="J7" s="2">
        <v>-32.200000000000003</v>
      </c>
      <c r="K7" s="2">
        <v>21.7</v>
      </c>
      <c r="L7" s="2">
        <v>-46.9</v>
      </c>
      <c r="M7" s="2">
        <v>-19.3</v>
      </c>
      <c r="O7">
        <v>1</v>
      </c>
      <c r="P7" s="1">
        <f t="shared" si="0"/>
        <v>0.67777777777777781</v>
      </c>
      <c r="Q7" s="1">
        <f t="shared" si="1"/>
        <v>1.2166666666666666</v>
      </c>
      <c r="R7" s="1">
        <f t="shared" si="2"/>
        <v>0.64629629629629637</v>
      </c>
    </row>
    <row r="8" spans="1:18" x14ac:dyDescent="0.2">
      <c r="A8">
        <v>14</v>
      </c>
      <c r="B8" s="2">
        <v>178.9</v>
      </c>
      <c r="C8" s="2">
        <v>23.3</v>
      </c>
      <c r="D8" s="2">
        <v>119.9</v>
      </c>
      <c r="E8" s="2">
        <v>17.7</v>
      </c>
      <c r="F8" s="2">
        <v>217.7</v>
      </c>
      <c r="G8" s="2">
        <v>19</v>
      </c>
      <c r="H8" s="2">
        <v>114.7</v>
      </c>
      <c r="I8" s="2">
        <v>15.2</v>
      </c>
      <c r="J8" s="2">
        <v>-33</v>
      </c>
      <c r="K8" s="2">
        <v>21.7</v>
      </c>
      <c r="L8" s="2">
        <v>-47.3</v>
      </c>
      <c r="M8" s="2">
        <v>-18.5</v>
      </c>
      <c r="O8">
        <v>1</v>
      </c>
      <c r="P8" s="1">
        <f t="shared" si="0"/>
        <v>0.67020681945220795</v>
      </c>
      <c r="Q8" s="1">
        <f t="shared" si="1"/>
        <v>1.2168809390721071</v>
      </c>
      <c r="R8" s="1">
        <f t="shared" si="2"/>
        <v>0.64114030184460591</v>
      </c>
    </row>
    <row r="9" spans="1:18" x14ac:dyDescent="0.2">
      <c r="A9">
        <v>16</v>
      </c>
      <c r="B9" s="2">
        <v>193.6</v>
      </c>
      <c r="C9" s="2">
        <v>25.5</v>
      </c>
      <c r="D9" s="2">
        <v>132.9</v>
      </c>
      <c r="E9" s="2">
        <v>19.399999999999999</v>
      </c>
      <c r="F9" s="2">
        <v>234.9</v>
      </c>
      <c r="G9" s="2">
        <v>21</v>
      </c>
      <c r="H9" s="2">
        <v>126.9</v>
      </c>
      <c r="I9" s="2">
        <v>16.100000000000001</v>
      </c>
      <c r="J9" s="2">
        <v>-31.4</v>
      </c>
      <c r="K9" s="2">
        <v>21.3</v>
      </c>
      <c r="L9" s="2">
        <v>-46</v>
      </c>
      <c r="M9" s="2">
        <v>-17.600000000000001</v>
      </c>
      <c r="O9">
        <v>1</v>
      </c>
      <c r="P9" s="1">
        <f t="shared" si="0"/>
        <v>0.68646694214876036</v>
      </c>
      <c r="Q9" s="1">
        <f t="shared" si="1"/>
        <v>1.2133264462809918</v>
      </c>
      <c r="R9" s="1">
        <f t="shared" si="2"/>
        <v>0.65547520661157033</v>
      </c>
    </row>
    <row r="10" spans="1:18" x14ac:dyDescent="0.2">
      <c r="A10">
        <v>18</v>
      </c>
      <c r="B10" s="2">
        <v>207.2</v>
      </c>
      <c r="C10" s="2">
        <v>28.2</v>
      </c>
      <c r="D10" s="2">
        <v>144.4</v>
      </c>
      <c r="E10" s="2">
        <v>21.6</v>
      </c>
      <c r="F10" s="2">
        <v>253.6</v>
      </c>
      <c r="G10" s="2">
        <v>22.2</v>
      </c>
      <c r="H10" s="2">
        <v>131.9</v>
      </c>
      <c r="I10" s="2">
        <v>17.399999999999999</v>
      </c>
      <c r="J10" s="2">
        <v>-30.3</v>
      </c>
      <c r="K10" s="2">
        <v>22.4</v>
      </c>
      <c r="L10" s="2">
        <v>-48</v>
      </c>
      <c r="M10" s="2">
        <v>-21.3</v>
      </c>
      <c r="O10">
        <v>1</v>
      </c>
      <c r="P10" s="1">
        <f t="shared" si="0"/>
        <v>0.69691119691119696</v>
      </c>
      <c r="Q10" s="1">
        <f t="shared" si="1"/>
        <v>1.2239382239382239</v>
      </c>
      <c r="R10" s="1">
        <f t="shared" si="2"/>
        <v>0.63658301158301167</v>
      </c>
    </row>
    <row r="11" spans="1:18" x14ac:dyDescent="0.2">
      <c r="A11">
        <v>20</v>
      </c>
      <c r="B11" s="2">
        <v>219.6</v>
      </c>
      <c r="C11" s="2">
        <v>30.9</v>
      </c>
      <c r="D11" s="2">
        <v>155.80000000000001</v>
      </c>
      <c r="E11" s="2">
        <v>23.4</v>
      </c>
      <c r="F11" s="2">
        <v>273.5</v>
      </c>
      <c r="G11" s="2">
        <v>24.3</v>
      </c>
      <c r="H11" s="2">
        <v>145.69999999999999</v>
      </c>
      <c r="I11" s="2">
        <v>19.399999999999999</v>
      </c>
      <c r="J11" s="2">
        <v>-29.1</v>
      </c>
      <c r="K11" s="2">
        <v>24.5</v>
      </c>
      <c r="L11" s="2">
        <v>-46.7</v>
      </c>
      <c r="M11" s="2">
        <v>-21.4</v>
      </c>
      <c r="O11">
        <v>1</v>
      </c>
      <c r="P11" s="1">
        <f t="shared" si="0"/>
        <v>0.70947176684881608</v>
      </c>
      <c r="Q11" s="1">
        <f t="shared" si="1"/>
        <v>1.2454462659380692</v>
      </c>
      <c r="R11" s="1">
        <f t="shared" si="2"/>
        <v>0.6634790528233151</v>
      </c>
    </row>
    <row r="12" spans="1:18" x14ac:dyDescent="0.2">
      <c r="A12">
        <v>22</v>
      </c>
      <c r="B12" s="2">
        <v>231.9</v>
      </c>
      <c r="C12" s="2">
        <v>32.9</v>
      </c>
      <c r="D12" s="2">
        <v>166.4</v>
      </c>
      <c r="E12" s="2">
        <v>25.2</v>
      </c>
      <c r="F12" s="2">
        <v>283.5</v>
      </c>
      <c r="G12" s="2">
        <v>26.6</v>
      </c>
      <c r="H12" s="2">
        <v>151.4</v>
      </c>
      <c r="I12" s="2">
        <v>20.3</v>
      </c>
      <c r="J12" s="2">
        <v>-28.2</v>
      </c>
      <c r="K12" s="2">
        <v>22.3</v>
      </c>
      <c r="L12" s="2">
        <v>-46.6</v>
      </c>
      <c r="M12" s="2">
        <v>-19.100000000000001</v>
      </c>
      <c r="O12">
        <v>1</v>
      </c>
      <c r="P12" s="1">
        <f t="shared" si="0"/>
        <v>0.71755066839154813</v>
      </c>
      <c r="Q12" s="1">
        <f t="shared" si="1"/>
        <v>1.2225097024579561</v>
      </c>
      <c r="R12" s="1">
        <f t="shared" si="2"/>
        <v>0.65286761535144455</v>
      </c>
    </row>
    <row r="13" spans="1:18" x14ac:dyDescent="0.2">
      <c r="A13">
        <v>24</v>
      </c>
      <c r="B13" s="2">
        <v>249.3</v>
      </c>
      <c r="C13" s="2">
        <v>36.6</v>
      </c>
      <c r="D13" s="2">
        <v>176.7</v>
      </c>
      <c r="E13" s="2">
        <v>28.3</v>
      </c>
      <c r="F13" s="2">
        <v>290.39999999999998</v>
      </c>
      <c r="G13" s="2">
        <v>28.2</v>
      </c>
      <c r="H13" s="2">
        <v>161.1</v>
      </c>
      <c r="I13" s="2">
        <v>22</v>
      </c>
      <c r="J13" s="2">
        <v>-29.1</v>
      </c>
      <c r="K13" s="2">
        <v>16.5</v>
      </c>
      <c r="L13" s="2">
        <v>-44.5</v>
      </c>
      <c r="M13" s="2">
        <v>-23</v>
      </c>
      <c r="O13">
        <v>1</v>
      </c>
      <c r="P13" s="1">
        <f t="shared" si="0"/>
        <v>0.7087845968712394</v>
      </c>
      <c r="Q13" s="1">
        <f t="shared" si="1"/>
        <v>1.1648616125150419</v>
      </c>
      <c r="R13" s="1">
        <f t="shared" si="2"/>
        <v>0.64620938628158842</v>
      </c>
    </row>
    <row r="14" spans="1:18" x14ac:dyDescent="0.2">
      <c r="A14">
        <v>26</v>
      </c>
      <c r="B14" s="2">
        <v>260.60000000000002</v>
      </c>
      <c r="C14" s="2">
        <v>39.5</v>
      </c>
      <c r="D14" s="2">
        <v>186.2</v>
      </c>
      <c r="E14" s="2">
        <v>29.7</v>
      </c>
      <c r="F14" s="2">
        <v>310.2</v>
      </c>
      <c r="G14" s="2">
        <v>30.6</v>
      </c>
      <c r="H14" s="2">
        <v>167.3</v>
      </c>
      <c r="I14" s="2">
        <v>23.1</v>
      </c>
      <c r="J14" s="2">
        <v>-28.5</v>
      </c>
      <c r="K14" s="2">
        <v>19</v>
      </c>
      <c r="L14" s="2">
        <v>-46.1</v>
      </c>
      <c r="M14" s="2">
        <v>-22.5</v>
      </c>
      <c r="O14">
        <v>1</v>
      </c>
      <c r="P14" s="1">
        <f t="shared" si="0"/>
        <v>0.71450498848810429</v>
      </c>
      <c r="Q14" s="1">
        <f t="shared" si="1"/>
        <v>1.1903300076745968</v>
      </c>
      <c r="R14" s="1">
        <f t="shared" si="2"/>
        <v>0.64198004604758252</v>
      </c>
    </row>
    <row r="15" spans="1:18" x14ac:dyDescent="0.2">
      <c r="A15">
        <v>28</v>
      </c>
      <c r="B15" s="2">
        <v>272.39999999999998</v>
      </c>
      <c r="C15" s="2">
        <v>42.1</v>
      </c>
      <c r="D15" s="2">
        <v>194.8</v>
      </c>
      <c r="E15" s="2">
        <v>32</v>
      </c>
      <c r="F15" s="2">
        <v>314.60000000000002</v>
      </c>
      <c r="G15" s="2">
        <v>33</v>
      </c>
      <c r="H15" s="2">
        <v>175.7</v>
      </c>
      <c r="I15" s="2">
        <v>25</v>
      </c>
      <c r="J15" s="2">
        <v>-28.5</v>
      </c>
      <c r="K15" s="2">
        <v>15.5</v>
      </c>
      <c r="L15" s="2">
        <v>-44.2</v>
      </c>
      <c r="M15" s="2">
        <v>-21.6</v>
      </c>
      <c r="O15">
        <v>1</v>
      </c>
      <c r="P15" s="1">
        <f t="shared" si="0"/>
        <v>0.71512481644640247</v>
      </c>
      <c r="Q15" s="1">
        <f t="shared" si="1"/>
        <v>1.154919236417034</v>
      </c>
      <c r="R15" s="1">
        <f t="shared" si="2"/>
        <v>0.64500734214390598</v>
      </c>
    </row>
    <row r="16" spans="1:18" x14ac:dyDescent="0.2">
      <c r="A16">
        <v>30</v>
      </c>
      <c r="B16" s="2">
        <v>287.89999999999998</v>
      </c>
      <c r="C16" s="2">
        <v>45.7</v>
      </c>
      <c r="D16" s="2">
        <v>205.5</v>
      </c>
      <c r="E16" s="2">
        <v>34.9</v>
      </c>
      <c r="F16" s="2">
        <v>325.3</v>
      </c>
      <c r="G16" s="2">
        <v>35</v>
      </c>
      <c r="H16" s="2">
        <v>181.8</v>
      </c>
      <c r="I16" s="2">
        <v>26.5</v>
      </c>
      <c r="J16" s="2">
        <v>-28.6</v>
      </c>
      <c r="K16" s="2">
        <v>13</v>
      </c>
      <c r="L16" s="2">
        <v>-44.1</v>
      </c>
      <c r="M16" s="2">
        <v>-23.4</v>
      </c>
      <c r="O16">
        <v>1</v>
      </c>
      <c r="P16" s="1">
        <f t="shared" si="0"/>
        <v>0.71378951024661341</v>
      </c>
      <c r="Q16" s="1">
        <f t="shared" si="1"/>
        <v>1.1299062174366101</v>
      </c>
      <c r="R16" s="1">
        <f t="shared" si="2"/>
        <v>0.63146926015977778</v>
      </c>
    </row>
    <row r="17" spans="1:18" x14ac:dyDescent="0.2">
      <c r="A17">
        <v>32</v>
      </c>
      <c r="B17" s="2">
        <v>296.8</v>
      </c>
      <c r="C17" s="2">
        <v>48.3</v>
      </c>
      <c r="D17" s="2">
        <v>215.3</v>
      </c>
      <c r="E17" s="2">
        <v>37</v>
      </c>
      <c r="F17" s="2">
        <v>338.4</v>
      </c>
      <c r="G17" s="2">
        <v>36.5</v>
      </c>
      <c r="H17" s="2">
        <v>189.8</v>
      </c>
      <c r="I17" s="2">
        <v>27.9</v>
      </c>
      <c r="J17" s="2">
        <v>-27.5</v>
      </c>
      <c r="K17" s="2">
        <v>14</v>
      </c>
      <c r="L17" s="2">
        <v>-43.9</v>
      </c>
      <c r="M17" s="2">
        <v>-24.4</v>
      </c>
      <c r="O17">
        <v>1</v>
      </c>
      <c r="P17" s="1">
        <f t="shared" si="0"/>
        <v>0.72540431266846361</v>
      </c>
      <c r="Q17" s="1">
        <f t="shared" si="1"/>
        <v>1.1401617250673852</v>
      </c>
      <c r="R17" s="1">
        <f t="shared" si="2"/>
        <v>0.63948787061994605</v>
      </c>
    </row>
    <row r="18" spans="1:18" x14ac:dyDescent="0.2">
      <c r="A18">
        <v>34</v>
      </c>
      <c r="B18" s="2">
        <v>308</v>
      </c>
      <c r="C18" s="2">
        <v>51.6</v>
      </c>
      <c r="D18" s="2">
        <v>225.9</v>
      </c>
      <c r="E18" s="2">
        <v>39.9</v>
      </c>
      <c r="F18" s="2">
        <v>348.3</v>
      </c>
      <c r="G18" s="2">
        <v>39.5</v>
      </c>
      <c r="H18" s="2">
        <v>196.7</v>
      </c>
      <c r="I18" s="2">
        <v>29.8</v>
      </c>
      <c r="J18" s="2">
        <v>-26.7</v>
      </c>
      <c r="K18" s="2">
        <v>13.1</v>
      </c>
      <c r="L18" s="2">
        <v>-43.5</v>
      </c>
      <c r="M18" s="2">
        <v>-23.4</v>
      </c>
      <c r="O18">
        <v>1</v>
      </c>
      <c r="P18" s="1">
        <f t="shared" si="0"/>
        <v>0.73344155844155845</v>
      </c>
      <c r="Q18" s="1">
        <f t="shared" si="1"/>
        <v>1.130844155844156</v>
      </c>
      <c r="R18" s="1">
        <f t="shared" si="2"/>
        <v>0.63863636363636356</v>
      </c>
    </row>
    <row r="19" spans="1:18" x14ac:dyDescent="0.2">
      <c r="A19">
        <v>36</v>
      </c>
      <c r="B19" s="2">
        <v>323.8</v>
      </c>
      <c r="C19" s="2">
        <v>56.3</v>
      </c>
      <c r="D19" s="2">
        <v>236.3</v>
      </c>
      <c r="E19" s="2">
        <v>43.5</v>
      </c>
      <c r="F19" s="2">
        <v>360.2</v>
      </c>
      <c r="G19" s="2">
        <v>41.9</v>
      </c>
      <c r="H19" s="2">
        <v>203.7</v>
      </c>
      <c r="I19" s="2">
        <v>32.200000000000003</v>
      </c>
      <c r="J19" s="2">
        <v>-27</v>
      </c>
      <c r="K19" s="2">
        <v>11.2</v>
      </c>
      <c r="L19" s="2">
        <v>-43.4</v>
      </c>
      <c r="M19" s="2">
        <v>-25.6</v>
      </c>
      <c r="O19">
        <v>1</v>
      </c>
      <c r="P19" s="1">
        <f t="shared" si="0"/>
        <v>0.72977146386658431</v>
      </c>
      <c r="Q19" s="1">
        <f t="shared" si="1"/>
        <v>1.1124150710315008</v>
      </c>
      <c r="R19" s="1">
        <f t="shared" si="2"/>
        <v>0.62909203211859166</v>
      </c>
    </row>
    <row r="20" spans="1:18" x14ac:dyDescent="0.2">
      <c r="A20">
        <v>38</v>
      </c>
      <c r="B20" s="2">
        <v>338.4</v>
      </c>
      <c r="C20" s="2">
        <v>59.6</v>
      </c>
      <c r="D20" s="2">
        <v>244.3</v>
      </c>
      <c r="E20" s="2">
        <v>45.7</v>
      </c>
      <c r="F20" s="2">
        <v>367.5</v>
      </c>
      <c r="G20" s="2">
        <v>44.8</v>
      </c>
      <c r="H20" s="2">
        <v>207.5</v>
      </c>
      <c r="I20" s="2">
        <v>33.200000000000003</v>
      </c>
      <c r="J20" s="2">
        <v>-27.8</v>
      </c>
      <c r="K20" s="2">
        <v>8.6</v>
      </c>
      <c r="L20" s="2">
        <v>-43.5</v>
      </c>
      <c r="M20" s="2">
        <v>-24.8</v>
      </c>
      <c r="O20">
        <v>1</v>
      </c>
      <c r="P20" s="1">
        <f t="shared" si="0"/>
        <v>0.72192671394799057</v>
      </c>
      <c r="Q20" s="1">
        <f t="shared" si="1"/>
        <v>1.0859929078014185</v>
      </c>
      <c r="R20" s="1">
        <f t="shared" si="2"/>
        <v>0.61317966903073295</v>
      </c>
    </row>
    <row r="21" spans="1:18" x14ac:dyDescent="0.2">
      <c r="A21">
        <v>40</v>
      </c>
      <c r="B21" s="2">
        <v>342.9</v>
      </c>
      <c r="C21" s="2">
        <v>63</v>
      </c>
      <c r="D21" s="2">
        <v>252.8</v>
      </c>
      <c r="E21" s="2">
        <v>48.5</v>
      </c>
      <c r="F21" s="2">
        <v>382.3</v>
      </c>
      <c r="G21" s="2">
        <v>47</v>
      </c>
      <c r="H21" s="2">
        <v>213.7</v>
      </c>
      <c r="I21" s="2">
        <v>34.6</v>
      </c>
      <c r="J21" s="2">
        <v>-26.3</v>
      </c>
      <c r="K21" s="2">
        <v>11.5</v>
      </c>
      <c r="L21" s="2">
        <v>-44.1</v>
      </c>
      <c r="M21" s="2">
        <v>-25.4</v>
      </c>
      <c r="O21">
        <v>1</v>
      </c>
      <c r="P21" s="1">
        <f t="shared" si="0"/>
        <v>0.73724117818606016</v>
      </c>
      <c r="Q21" s="1">
        <f t="shared" si="1"/>
        <v>1.1149023038786818</v>
      </c>
      <c r="R21" s="1">
        <f t="shared" si="2"/>
        <v>0.62321376494604841</v>
      </c>
    </row>
    <row r="22" spans="1:18" x14ac:dyDescent="0.2">
      <c r="A22">
        <v>60</v>
      </c>
      <c r="B22" s="2">
        <v>457.9</v>
      </c>
      <c r="C22" s="2">
        <v>106.1</v>
      </c>
      <c r="D22" s="2">
        <v>344</v>
      </c>
      <c r="E22" s="2">
        <v>84.3</v>
      </c>
      <c r="F22" s="2">
        <v>468</v>
      </c>
      <c r="G22" s="2">
        <v>75.8</v>
      </c>
      <c r="H22" s="2">
        <v>276.8</v>
      </c>
      <c r="I22" s="2">
        <v>55.9</v>
      </c>
      <c r="J22" s="2">
        <v>-24.9</v>
      </c>
      <c r="K22" s="2">
        <v>2.2000000000000002</v>
      </c>
      <c r="L22" s="2">
        <v>-40.9</v>
      </c>
      <c r="M22" s="2">
        <v>-28.6</v>
      </c>
      <c r="O22">
        <v>1</v>
      </c>
      <c r="P22" s="1">
        <f t="shared" si="0"/>
        <v>0.75125573269272772</v>
      </c>
      <c r="Q22" s="1">
        <f t="shared" si="1"/>
        <v>1.0220572177331295</v>
      </c>
      <c r="R22" s="1">
        <f t="shared" si="2"/>
        <v>0.60449879886438096</v>
      </c>
    </row>
    <row r="23" spans="1:18" x14ac:dyDescent="0.2">
      <c r="A23">
        <v>80</v>
      </c>
      <c r="B23" s="2">
        <v>569</v>
      </c>
      <c r="C23" s="2">
        <v>165.7</v>
      </c>
      <c r="D23" s="2">
        <v>436.3</v>
      </c>
      <c r="E23" s="2">
        <v>133.19999999999999</v>
      </c>
      <c r="F23" s="2">
        <v>551.79999999999995</v>
      </c>
      <c r="G23" s="2">
        <v>111.7</v>
      </c>
      <c r="H23" s="2">
        <v>331.8</v>
      </c>
      <c r="I23" s="2">
        <v>81.900000000000006</v>
      </c>
      <c r="J23" s="2">
        <v>-23.3</v>
      </c>
      <c r="K23" s="2">
        <v>-3</v>
      </c>
      <c r="L23" s="2">
        <v>-39.9</v>
      </c>
      <c r="M23" s="2">
        <v>-32.6</v>
      </c>
      <c r="O23">
        <v>1</v>
      </c>
      <c r="P23" s="1">
        <f t="shared" si="0"/>
        <v>0.76678383128295258</v>
      </c>
      <c r="Q23" s="1">
        <f t="shared" si="1"/>
        <v>0.96977152899824248</v>
      </c>
      <c r="R23" s="1">
        <f t="shared" si="2"/>
        <v>0.58312829525483301</v>
      </c>
    </row>
    <row r="24" spans="1:18" x14ac:dyDescent="0.2">
      <c r="A24">
        <v>100</v>
      </c>
      <c r="B24" s="2">
        <v>672.9</v>
      </c>
      <c r="C24" s="2">
        <v>234.8</v>
      </c>
      <c r="D24" s="2">
        <v>518.5</v>
      </c>
      <c r="E24" s="2">
        <v>191</v>
      </c>
      <c r="F24" s="2">
        <v>633.29999999999995</v>
      </c>
      <c r="G24" s="2">
        <v>155.5</v>
      </c>
      <c r="H24" s="2">
        <v>386.5</v>
      </c>
      <c r="I24" s="2">
        <v>112.7</v>
      </c>
      <c r="J24" s="2">
        <v>-22.9</v>
      </c>
      <c r="K24" s="2">
        <v>-5.9</v>
      </c>
      <c r="L24" s="2">
        <v>-39</v>
      </c>
      <c r="M24" s="2">
        <v>-33.799999999999997</v>
      </c>
      <c r="O24">
        <v>1</v>
      </c>
      <c r="P24" s="1">
        <f t="shared" si="0"/>
        <v>0.77054540050527565</v>
      </c>
      <c r="Q24" s="1">
        <f t="shared" si="1"/>
        <v>0.94115024520731161</v>
      </c>
      <c r="R24" s="1">
        <f t="shared" si="2"/>
        <v>0.57437955119631445</v>
      </c>
    </row>
    <row r="25" spans="1:18" x14ac:dyDescent="0.2">
      <c r="A25">
        <v>120</v>
      </c>
      <c r="B25" s="2">
        <v>775.3</v>
      </c>
      <c r="C25" s="2">
        <v>314</v>
      </c>
      <c r="D25" s="2">
        <v>605.9</v>
      </c>
      <c r="E25" s="2">
        <v>261.3</v>
      </c>
      <c r="F25" s="2">
        <v>705.6</v>
      </c>
      <c r="G25" s="2">
        <v>203.1</v>
      </c>
      <c r="H25" s="2">
        <v>436.7</v>
      </c>
      <c r="I25" s="2">
        <v>148.4</v>
      </c>
      <c r="J25" s="2">
        <v>-21.8</v>
      </c>
      <c r="K25" s="2">
        <v>-9</v>
      </c>
      <c r="L25" s="2">
        <v>-38.1</v>
      </c>
      <c r="M25" s="2">
        <v>-35.299999999999997</v>
      </c>
      <c r="O25">
        <v>1</v>
      </c>
      <c r="P25" s="1">
        <f t="shared" si="0"/>
        <v>0.78150393396104734</v>
      </c>
      <c r="Q25" s="1">
        <f t="shared" si="1"/>
        <v>0.91009931639365416</v>
      </c>
      <c r="R25" s="1">
        <f t="shared" si="2"/>
        <v>0.56326583258093643</v>
      </c>
    </row>
    <row r="26" spans="1:18" x14ac:dyDescent="0.2">
      <c r="A26">
        <v>140</v>
      </c>
      <c r="B26" s="2">
        <v>875.1</v>
      </c>
      <c r="C26" s="2">
        <v>420.6</v>
      </c>
      <c r="D26" s="2">
        <v>682.7</v>
      </c>
      <c r="E26" s="2">
        <v>345.3</v>
      </c>
      <c r="F26" s="2">
        <v>789.1</v>
      </c>
      <c r="G26" s="2">
        <v>270.5</v>
      </c>
      <c r="H26" s="2">
        <v>485.5</v>
      </c>
      <c r="I26" s="2">
        <v>189.1</v>
      </c>
      <c r="J26" s="2">
        <v>-22</v>
      </c>
      <c r="K26" s="2">
        <v>-9.8000000000000007</v>
      </c>
      <c r="L26" s="2">
        <v>-38.5</v>
      </c>
      <c r="M26" s="2">
        <v>-35.700000000000003</v>
      </c>
      <c r="O26">
        <v>1</v>
      </c>
      <c r="P26" s="1">
        <f t="shared" si="0"/>
        <v>0.78013941263855557</v>
      </c>
      <c r="Q26" s="1">
        <f t="shared" si="1"/>
        <v>0.90172551708376181</v>
      </c>
      <c r="R26" s="1">
        <f t="shared" si="2"/>
        <v>0.55479373785853048</v>
      </c>
    </row>
    <row r="27" spans="1:18" x14ac:dyDescent="0.2">
      <c r="A27">
        <v>160</v>
      </c>
      <c r="B27" s="2">
        <v>967.5</v>
      </c>
      <c r="C27" s="2">
        <v>515.9</v>
      </c>
      <c r="D27" s="2">
        <v>764</v>
      </c>
      <c r="E27" s="2">
        <v>434.2</v>
      </c>
      <c r="F27" s="2">
        <v>832.9</v>
      </c>
      <c r="G27" s="2">
        <v>318.39999999999998</v>
      </c>
      <c r="H27" s="2">
        <v>529.79999999999995</v>
      </c>
      <c r="I27" s="2">
        <v>231.6</v>
      </c>
      <c r="J27" s="2">
        <v>-21</v>
      </c>
      <c r="K27" s="2">
        <v>-13.9</v>
      </c>
      <c r="L27" s="2">
        <v>-36.4</v>
      </c>
      <c r="M27" s="2">
        <v>-38.299999999999997</v>
      </c>
      <c r="O27">
        <v>1</v>
      </c>
      <c r="P27" s="1">
        <f t="shared" si="0"/>
        <v>0.78966408268733845</v>
      </c>
      <c r="Q27" s="1">
        <f t="shared" si="1"/>
        <v>0.86087855297157623</v>
      </c>
      <c r="R27" s="1">
        <f t="shared" si="2"/>
        <v>0.54759689922480614</v>
      </c>
    </row>
    <row r="28" spans="1:18" x14ac:dyDescent="0.2">
      <c r="A28">
        <v>180</v>
      </c>
      <c r="B28" s="2">
        <v>1070</v>
      </c>
      <c r="C28" s="2">
        <v>634.6</v>
      </c>
      <c r="D28" s="2">
        <v>845.8</v>
      </c>
      <c r="E28" s="2">
        <v>535.9</v>
      </c>
      <c r="F28" s="2">
        <v>878</v>
      </c>
      <c r="G28" s="2">
        <v>377</v>
      </c>
      <c r="H28" s="2">
        <v>579.79999999999995</v>
      </c>
      <c r="I28" s="2">
        <v>279.8</v>
      </c>
      <c r="J28" s="2">
        <v>-21</v>
      </c>
      <c r="K28" s="2">
        <v>-17.899999999999999</v>
      </c>
      <c r="L28" s="2">
        <v>-34</v>
      </c>
      <c r="M28" s="2">
        <v>-40.6</v>
      </c>
      <c r="O28">
        <v>1</v>
      </c>
      <c r="P28" s="1">
        <f t="shared" si="0"/>
        <v>0.7904672897196261</v>
      </c>
      <c r="Q28" s="1">
        <f t="shared" si="1"/>
        <v>0.82056074766355136</v>
      </c>
      <c r="R28" s="1">
        <f t="shared" si="2"/>
        <v>0.54186915887850462</v>
      </c>
    </row>
    <row r="29" spans="1:18" x14ac:dyDescent="0.2">
      <c r="A29">
        <v>200</v>
      </c>
      <c r="B29" s="2">
        <v>1165.8</v>
      </c>
      <c r="C29" s="2">
        <v>772.7</v>
      </c>
      <c r="D29" s="2">
        <v>925.4</v>
      </c>
      <c r="E29" s="2">
        <v>652</v>
      </c>
      <c r="F29" s="2">
        <v>925.1</v>
      </c>
      <c r="G29" s="2">
        <v>438.6</v>
      </c>
      <c r="H29" s="2">
        <v>622.5</v>
      </c>
      <c r="I29" s="2">
        <v>331</v>
      </c>
      <c r="J29" s="2">
        <v>-20.6</v>
      </c>
      <c r="K29" s="2">
        <v>-20.6</v>
      </c>
      <c r="L29" s="2">
        <v>-32.700000000000003</v>
      </c>
      <c r="M29" s="2">
        <v>-43.2</v>
      </c>
      <c r="O29">
        <v>1</v>
      </c>
      <c r="P29" s="1">
        <f t="shared" si="0"/>
        <v>0.79378967232801512</v>
      </c>
      <c r="Q29" s="1">
        <f t="shared" si="1"/>
        <v>0.79353233830845771</v>
      </c>
      <c r="R29" s="1">
        <f t="shared" si="2"/>
        <v>0.53396809058157491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4AD51-AFD4-3D42-B2DF-F813173CA207}">
  <dimension ref="A1:R33"/>
  <sheetViews>
    <sheetView workbookViewId="0">
      <selection activeCell="K32" sqref="K32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62.4</v>
      </c>
      <c r="C2" s="2">
        <v>10</v>
      </c>
      <c r="D2" s="2">
        <v>34</v>
      </c>
      <c r="E2" s="2">
        <v>10</v>
      </c>
      <c r="F2" s="2">
        <v>68.5</v>
      </c>
      <c r="G2" s="2">
        <v>9</v>
      </c>
      <c r="H2" s="2">
        <v>33.700000000000003</v>
      </c>
      <c r="I2" s="2">
        <v>9</v>
      </c>
      <c r="J2" s="2">
        <v>-45.5</v>
      </c>
      <c r="K2" s="2">
        <v>9.8000000000000007</v>
      </c>
      <c r="L2" s="2">
        <v>-50.8</v>
      </c>
      <c r="M2" s="2">
        <v>-10</v>
      </c>
      <c r="N2" s="2"/>
      <c r="O2">
        <v>1</v>
      </c>
      <c r="P2" s="1">
        <f t="shared" ref="P2:P29" si="0">D2/B2</f>
        <v>0.54487179487179493</v>
      </c>
      <c r="Q2" s="1">
        <f t="shared" ref="Q2:Q29" si="1">F2/B2</f>
        <v>1.0977564102564104</v>
      </c>
      <c r="R2" s="1">
        <f t="shared" ref="R2:R29" si="2">H2/B2</f>
        <v>0.54006410256410264</v>
      </c>
    </row>
    <row r="3" spans="1:18" x14ac:dyDescent="0.2">
      <c r="A3">
        <v>4</v>
      </c>
      <c r="B3" s="2">
        <v>106.7</v>
      </c>
      <c r="C3" s="2">
        <v>14.3</v>
      </c>
      <c r="D3" s="2">
        <v>72.5</v>
      </c>
      <c r="E3" s="2">
        <v>13.7</v>
      </c>
      <c r="F3" s="2">
        <v>130.5</v>
      </c>
      <c r="G3" s="2">
        <v>12.6</v>
      </c>
      <c r="H3" s="2">
        <v>73.400000000000006</v>
      </c>
      <c r="I3" s="2">
        <v>11.4</v>
      </c>
      <c r="J3" s="2">
        <v>-32.1</v>
      </c>
      <c r="K3" s="2">
        <v>22.3</v>
      </c>
      <c r="L3" s="2">
        <v>-43.8</v>
      </c>
      <c r="M3" s="2">
        <v>-11.9</v>
      </c>
      <c r="N3" s="2"/>
      <c r="O3">
        <v>1</v>
      </c>
      <c r="P3" s="1">
        <f t="shared" si="0"/>
        <v>0.67947516401124641</v>
      </c>
      <c r="Q3" s="1">
        <f t="shared" si="1"/>
        <v>1.2230552952202436</v>
      </c>
      <c r="R3" s="1">
        <f t="shared" si="2"/>
        <v>0.68791002811621371</v>
      </c>
    </row>
    <row r="4" spans="1:18" x14ac:dyDescent="0.2">
      <c r="A4">
        <v>6</v>
      </c>
      <c r="B4" s="2">
        <v>154.30000000000001</v>
      </c>
      <c r="C4" s="2">
        <v>19.399999999999999</v>
      </c>
      <c r="D4" s="2">
        <v>114.8</v>
      </c>
      <c r="E4" s="2">
        <v>17.5</v>
      </c>
      <c r="F4" s="2">
        <v>172.3</v>
      </c>
      <c r="G4" s="2">
        <v>14.8</v>
      </c>
      <c r="H4" s="2">
        <v>120.2</v>
      </c>
      <c r="I4" s="2">
        <v>14.1</v>
      </c>
      <c r="J4" s="2">
        <v>-25.6</v>
      </c>
      <c r="K4" s="2">
        <v>11.7</v>
      </c>
      <c r="L4" s="2">
        <v>-30.2</v>
      </c>
      <c r="M4" s="2">
        <v>-23.7</v>
      </c>
      <c r="N4" s="2"/>
      <c r="O4">
        <v>1</v>
      </c>
      <c r="P4" s="1">
        <f t="shared" si="0"/>
        <v>0.74400518470511978</v>
      </c>
      <c r="Q4" s="1">
        <f t="shared" si="1"/>
        <v>1.1166558651976668</v>
      </c>
      <c r="R4" s="1">
        <f t="shared" si="2"/>
        <v>0.77900194426441993</v>
      </c>
    </row>
    <row r="5" spans="1:18" x14ac:dyDescent="0.2">
      <c r="A5">
        <v>8</v>
      </c>
      <c r="B5" s="2">
        <v>217.1</v>
      </c>
      <c r="C5" s="2">
        <v>23.5</v>
      </c>
      <c r="D5" s="2">
        <v>176.8</v>
      </c>
      <c r="E5" s="2">
        <v>22.4</v>
      </c>
      <c r="F5" s="2">
        <v>222.9</v>
      </c>
      <c r="G5" s="2">
        <v>17.3</v>
      </c>
      <c r="H5" s="2">
        <v>171.7</v>
      </c>
      <c r="I5" s="2">
        <v>16.8</v>
      </c>
      <c r="J5" s="2">
        <v>-18.600000000000001</v>
      </c>
      <c r="K5" s="2">
        <v>2.7</v>
      </c>
      <c r="L5" s="2">
        <v>-23</v>
      </c>
      <c r="M5" s="2">
        <v>-26.4</v>
      </c>
      <c r="N5" s="2"/>
      <c r="O5">
        <v>1</v>
      </c>
      <c r="P5" s="1">
        <f t="shared" si="0"/>
        <v>0.81437125748503003</v>
      </c>
      <c r="Q5" s="1">
        <f t="shared" si="1"/>
        <v>1.0267157991708891</v>
      </c>
      <c r="R5" s="1">
        <f t="shared" si="2"/>
        <v>0.79087977890373096</v>
      </c>
    </row>
    <row r="6" spans="1:18" x14ac:dyDescent="0.2">
      <c r="A6">
        <v>10</v>
      </c>
      <c r="B6" s="2">
        <v>261.3</v>
      </c>
      <c r="C6" s="2">
        <v>27.4</v>
      </c>
      <c r="D6" s="2">
        <v>225.6</v>
      </c>
      <c r="E6" s="2">
        <v>26.3</v>
      </c>
      <c r="F6" s="2">
        <v>257.8</v>
      </c>
      <c r="G6" s="2">
        <v>19.100000000000001</v>
      </c>
      <c r="H6" s="2">
        <v>214.5</v>
      </c>
      <c r="I6" s="2">
        <v>19.100000000000001</v>
      </c>
      <c r="J6" s="2">
        <v>-13.7</v>
      </c>
      <c r="K6" s="2">
        <v>-1.3</v>
      </c>
      <c r="L6" s="2">
        <v>-16.8</v>
      </c>
      <c r="M6" s="2">
        <v>-30.3</v>
      </c>
      <c r="N6" s="2"/>
      <c r="O6">
        <v>1</v>
      </c>
      <c r="P6" s="1">
        <f t="shared" si="0"/>
        <v>0.86337543053960963</v>
      </c>
      <c r="Q6" s="1">
        <f t="shared" si="1"/>
        <v>0.9866054343666284</v>
      </c>
      <c r="R6" s="1">
        <f t="shared" si="2"/>
        <v>0.82089552238805963</v>
      </c>
    </row>
    <row r="7" spans="1:18" x14ac:dyDescent="0.2">
      <c r="A7">
        <v>12</v>
      </c>
      <c r="B7" s="2">
        <v>305.2</v>
      </c>
      <c r="C7" s="2">
        <v>32.9</v>
      </c>
      <c r="D7" s="2">
        <v>285.89999999999998</v>
      </c>
      <c r="E7" s="2">
        <v>32.5</v>
      </c>
      <c r="F7" s="2">
        <v>295</v>
      </c>
      <c r="G7" s="2">
        <v>22.9</v>
      </c>
      <c r="H7" s="2">
        <v>259.8</v>
      </c>
      <c r="I7" s="2">
        <v>22</v>
      </c>
      <c r="J7" s="2">
        <v>-6.3</v>
      </c>
      <c r="K7" s="2">
        <v>-3.3</v>
      </c>
      <c r="L7" s="2">
        <v>-11.9</v>
      </c>
      <c r="M7" s="2">
        <v>-30.4</v>
      </c>
      <c r="N7" s="2"/>
      <c r="O7">
        <v>1</v>
      </c>
      <c r="P7" s="1">
        <f t="shared" si="0"/>
        <v>0.93676277850589773</v>
      </c>
      <c r="Q7" s="1">
        <f t="shared" si="1"/>
        <v>0.96657929226736572</v>
      </c>
      <c r="R7" s="1">
        <f t="shared" si="2"/>
        <v>0.85124508519003939</v>
      </c>
    </row>
    <row r="8" spans="1:18" x14ac:dyDescent="0.2">
      <c r="A8">
        <v>14</v>
      </c>
      <c r="B8" s="2">
        <v>337.4</v>
      </c>
      <c r="C8" s="2">
        <v>36.9</v>
      </c>
      <c r="D8" s="2">
        <v>312</v>
      </c>
      <c r="E8" s="2">
        <v>35.9</v>
      </c>
      <c r="F8" s="2">
        <v>324.10000000000002</v>
      </c>
      <c r="G8" s="2">
        <v>25.7</v>
      </c>
      <c r="H8" s="2">
        <v>293.60000000000002</v>
      </c>
      <c r="I8" s="2">
        <v>23.2</v>
      </c>
      <c r="J8" s="2">
        <v>-7.5</v>
      </c>
      <c r="K8" s="2">
        <v>-3.9</v>
      </c>
      <c r="L8" s="2">
        <v>-9.4</v>
      </c>
      <c r="M8" s="2">
        <v>-30.4</v>
      </c>
      <c r="N8" s="2"/>
      <c r="O8">
        <v>1</v>
      </c>
      <c r="P8" s="1">
        <f t="shared" si="0"/>
        <v>0.92471843509187912</v>
      </c>
      <c r="Q8" s="1">
        <f t="shared" si="1"/>
        <v>0.96058091286307068</v>
      </c>
      <c r="R8" s="1">
        <f t="shared" si="2"/>
        <v>0.87018375815056326</v>
      </c>
    </row>
    <row r="9" spans="1:18" x14ac:dyDescent="0.2">
      <c r="A9">
        <v>16</v>
      </c>
      <c r="B9" s="2">
        <v>380.3</v>
      </c>
      <c r="C9" s="2">
        <v>40</v>
      </c>
      <c r="D9" s="2">
        <v>358.8</v>
      </c>
      <c r="E9" s="2">
        <v>38.9</v>
      </c>
      <c r="F9" s="2">
        <v>360</v>
      </c>
      <c r="G9" s="2">
        <v>26.3</v>
      </c>
      <c r="H9" s="2">
        <v>326</v>
      </c>
      <c r="I9" s="2">
        <v>24.7</v>
      </c>
      <c r="J9" s="2">
        <v>-5.7</v>
      </c>
      <c r="K9" s="2">
        <v>-5.3</v>
      </c>
      <c r="L9" s="2">
        <v>-9.4</v>
      </c>
      <c r="M9" s="2">
        <v>-34.200000000000003</v>
      </c>
      <c r="N9" s="2"/>
      <c r="O9">
        <v>1</v>
      </c>
      <c r="P9" s="1">
        <f t="shared" si="0"/>
        <v>0.94346568498553773</v>
      </c>
      <c r="Q9" s="1">
        <f t="shared" si="1"/>
        <v>0.94662108861425187</v>
      </c>
      <c r="R9" s="1">
        <f t="shared" si="2"/>
        <v>0.85721798580068365</v>
      </c>
    </row>
    <row r="10" spans="1:18" x14ac:dyDescent="0.2">
      <c r="A10">
        <v>18</v>
      </c>
      <c r="B10" s="2">
        <v>406.5</v>
      </c>
      <c r="C10" s="2">
        <v>43.3</v>
      </c>
      <c r="D10" s="2">
        <v>384.9</v>
      </c>
      <c r="E10" s="2">
        <v>41.5</v>
      </c>
      <c r="F10" s="2">
        <v>386.5</v>
      </c>
      <c r="G10" s="2">
        <v>28.2</v>
      </c>
      <c r="H10" s="2">
        <v>349.2</v>
      </c>
      <c r="I10" s="2">
        <v>26.6</v>
      </c>
      <c r="J10" s="2">
        <v>-5.3</v>
      </c>
      <c r="K10" s="2">
        <v>-4.9000000000000004</v>
      </c>
      <c r="L10" s="2">
        <v>-9.6999999999999993</v>
      </c>
      <c r="M10" s="2">
        <v>-34.9</v>
      </c>
      <c r="N10" s="2"/>
      <c r="O10">
        <v>1</v>
      </c>
      <c r="P10" s="1">
        <f t="shared" si="0"/>
        <v>0.94686346863468629</v>
      </c>
      <c r="Q10" s="1">
        <f t="shared" si="1"/>
        <v>0.95079950799507995</v>
      </c>
      <c r="R10" s="1">
        <f t="shared" si="2"/>
        <v>0.85904059040590408</v>
      </c>
    </row>
    <row r="11" spans="1:18" x14ac:dyDescent="0.2">
      <c r="A11">
        <v>20</v>
      </c>
      <c r="B11" s="2">
        <v>442.7</v>
      </c>
      <c r="C11" s="2">
        <v>49.2</v>
      </c>
      <c r="D11" s="2">
        <v>421.9</v>
      </c>
      <c r="E11" s="2">
        <v>46.8</v>
      </c>
      <c r="F11" s="2">
        <v>412.9</v>
      </c>
      <c r="G11" s="2">
        <v>31</v>
      </c>
      <c r="H11" s="2">
        <v>383.9</v>
      </c>
      <c r="I11" s="2">
        <v>29.4</v>
      </c>
      <c r="J11" s="2">
        <v>-4.7</v>
      </c>
      <c r="K11" s="2">
        <v>-6.7</v>
      </c>
      <c r="L11" s="2">
        <v>-7</v>
      </c>
      <c r="M11" s="2">
        <v>-37</v>
      </c>
      <c r="N11" s="2"/>
      <c r="O11">
        <v>1</v>
      </c>
      <c r="P11" s="1">
        <f t="shared" si="0"/>
        <v>0.95301558617573978</v>
      </c>
      <c r="Q11" s="1">
        <f t="shared" si="1"/>
        <v>0.93268579173255028</v>
      </c>
      <c r="R11" s="1">
        <f t="shared" si="2"/>
        <v>0.86717867630449508</v>
      </c>
    </row>
    <row r="12" spans="1:18" x14ac:dyDescent="0.2">
      <c r="A12">
        <v>22</v>
      </c>
      <c r="B12" s="2">
        <v>468.9</v>
      </c>
      <c r="C12" s="2">
        <v>53.4</v>
      </c>
      <c r="D12" s="2">
        <v>445.8</v>
      </c>
      <c r="E12" s="2">
        <v>52.3</v>
      </c>
      <c r="F12" s="2">
        <v>433.2</v>
      </c>
      <c r="G12" s="2">
        <v>33.4</v>
      </c>
      <c r="H12" s="2">
        <v>408.8</v>
      </c>
      <c r="I12" s="2">
        <v>31.5</v>
      </c>
      <c r="J12" s="2">
        <v>-4.9000000000000004</v>
      </c>
      <c r="K12" s="2">
        <v>-7.6</v>
      </c>
      <c r="L12" s="2">
        <v>-5.6</v>
      </c>
      <c r="M12" s="2">
        <v>-37.5</v>
      </c>
      <c r="N12" s="2"/>
      <c r="O12">
        <v>1</v>
      </c>
      <c r="P12" s="1">
        <f t="shared" si="0"/>
        <v>0.95073576455534237</v>
      </c>
      <c r="Q12" s="1">
        <f t="shared" si="1"/>
        <v>0.92386436340371081</v>
      </c>
      <c r="R12" s="1">
        <f t="shared" si="2"/>
        <v>0.87182768180848802</v>
      </c>
    </row>
    <row r="13" spans="1:18" x14ac:dyDescent="0.2">
      <c r="A13">
        <v>24</v>
      </c>
      <c r="B13" s="2">
        <v>491.3</v>
      </c>
      <c r="C13" s="2">
        <v>59.6</v>
      </c>
      <c r="D13" s="2">
        <v>475.2</v>
      </c>
      <c r="E13" s="2">
        <v>57.8</v>
      </c>
      <c r="F13" s="2">
        <v>452.3</v>
      </c>
      <c r="G13" s="2">
        <v>36.4</v>
      </c>
      <c r="H13" s="2">
        <v>434</v>
      </c>
      <c r="I13" s="2">
        <v>35</v>
      </c>
      <c r="J13" s="2">
        <v>-3.3</v>
      </c>
      <c r="K13" s="2">
        <v>-7.9</v>
      </c>
      <c r="L13" s="2">
        <v>-4</v>
      </c>
      <c r="M13" s="2">
        <v>-38.9</v>
      </c>
      <c r="N13" s="2"/>
      <c r="O13">
        <v>1</v>
      </c>
      <c r="P13" s="1">
        <f t="shared" si="0"/>
        <v>0.96722979849379198</v>
      </c>
      <c r="Q13" s="1">
        <f t="shared" si="1"/>
        <v>0.92061876653775698</v>
      </c>
      <c r="R13" s="1">
        <f t="shared" si="2"/>
        <v>0.88337064929778142</v>
      </c>
    </row>
    <row r="14" spans="1:18" x14ac:dyDescent="0.2">
      <c r="A14">
        <v>26</v>
      </c>
      <c r="B14" s="2">
        <v>515.6</v>
      </c>
      <c r="C14" s="2">
        <v>66</v>
      </c>
      <c r="D14" s="2">
        <v>503</v>
      </c>
      <c r="E14" s="2">
        <v>64.7</v>
      </c>
      <c r="F14" s="2">
        <v>475.1</v>
      </c>
      <c r="G14" s="2">
        <v>39.9</v>
      </c>
      <c r="H14" s="2">
        <v>457.9</v>
      </c>
      <c r="I14" s="2">
        <v>39.1</v>
      </c>
      <c r="J14" s="2">
        <v>-2.4</v>
      </c>
      <c r="K14" s="2">
        <v>-7.9</v>
      </c>
      <c r="L14" s="2">
        <v>-3.6</v>
      </c>
      <c r="M14" s="2">
        <v>-39.5</v>
      </c>
      <c r="N14" s="2"/>
      <c r="O14">
        <v>1</v>
      </c>
      <c r="P14" s="1">
        <f t="shared" si="0"/>
        <v>0.97556245151280063</v>
      </c>
      <c r="Q14" s="1">
        <f t="shared" si="1"/>
        <v>0.92145073700543056</v>
      </c>
      <c r="R14" s="1">
        <f t="shared" si="2"/>
        <v>0.88809154383242817</v>
      </c>
    </row>
    <row r="15" spans="1:18" x14ac:dyDescent="0.2">
      <c r="A15">
        <v>28</v>
      </c>
      <c r="B15" s="2">
        <v>540</v>
      </c>
      <c r="C15" s="2">
        <v>70.7</v>
      </c>
      <c r="D15" s="2">
        <v>521.9</v>
      </c>
      <c r="E15" s="2">
        <v>68.8</v>
      </c>
      <c r="F15" s="2">
        <v>492.4</v>
      </c>
      <c r="G15" s="2">
        <v>42.6</v>
      </c>
      <c r="H15" s="2">
        <v>474.8</v>
      </c>
      <c r="I15" s="2">
        <v>40.6</v>
      </c>
      <c r="J15" s="2">
        <v>-3.4</v>
      </c>
      <c r="K15" s="2">
        <v>-8.8000000000000007</v>
      </c>
      <c r="L15" s="2">
        <v>-3.6</v>
      </c>
      <c r="M15" s="2">
        <v>-39.700000000000003</v>
      </c>
      <c r="N15" s="2"/>
      <c r="O15">
        <v>1</v>
      </c>
      <c r="P15" s="1">
        <f t="shared" si="0"/>
        <v>0.96648148148148139</v>
      </c>
      <c r="Q15" s="1">
        <f t="shared" si="1"/>
        <v>0.9118518518518518</v>
      </c>
      <c r="R15" s="1">
        <f t="shared" si="2"/>
        <v>0.8792592592592593</v>
      </c>
    </row>
    <row r="16" spans="1:18" x14ac:dyDescent="0.2">
      <c r="A16">
        <v>30</v>
      </c>
      <c r="B16" s="2">
        <v>568.1</v>
      </c>
      <c r="C16" s="2">
        <v>78.2</v>
      </c>
      <c r="D16" s="2">
        <v>555.70000000000005</v>
      </c>
      <c r="E16" s="2">
        <v>76.5</v>
      </c>
      <c r="F16" s="2">
        <v>518.5</v>
      </c>
      <c r="G16" s="2">
        <v>46.3</v>
      </c>
      <c r="H16" s="2">
        <v>501</v>
      </c>
      <c r="I16" s="2">
        <v>45.3</v>
      </c>
      <c r="J16" s="2">
        <v>-2.2000000000000002</v>
      </c>
      <c r="K16" s="2">
        <v>-8.6999999999999993</v>
      </c>
      <c r="L16" s="2">
        <v>-3.4</v>
      </c>
      <c r="M16" s="2">
        <v>-40.799999999999997</v>
      </c>
      <c r="N16" s="2"/>
      <c r="O16">
        <v>1</v>
      </c>
      <c r="P16" s="1">
        <f t="shared" si="0"/>
        <v>0.97817285689139244</v>
      </c>
      <c r="Q16" s="1">
        <f t="shared" si="1"/>
        <v>0.91269142756556942</v>
      </c>
      <c r="R16" s="1">
        <f t="shared" si="2"/>
        <v>0.88188699172680862</v>
      </c>
    </row>
    <row r="17" spans="1:18" x14ac:dyDescent="0.2">
      <c r="A17">
        <v>32</v>
      </c>
      <c r="B17" s="2">
        <v>592.20000000000005</v>
      </c>
      <c r="C17" s="2">
        <v>84.5</v>
      </c>
      <c r="D17" s="2">
        <v>576.20000000000005</v>
      </c>
      <c r="E17" s="2">
        <v>82.8</v>
      </c>
      <c r="F17" s="2">
        <v>535.4</v>
      </c>
      <c r="G17" s="2">
        <v>50.3</v>
      </c>
      <c r="H17" s="2">
        <v>518.79999999999995</v>
      </c>
      <c r="I17" s="2">
        <v>49.3</v>
      </c>
      <c r="J17" s="2">
        <v>-2.7</v>
      </c>
      <c r="K17" s="2">
        <v>-9.6</v>
      </c>
      <c r="L17" s="2">
        <v>-3.1</v>
      </c>
      <c r="M17" s="2">
        <v>-40.5</v>
      </c>
      <c r="N17" s="2"/>
      <c r="O17">
        <v>1</v>
      </c>
      <c r="P17" s="1">
        <f t="shared" si="0"/>
        <v>0.97298210064167512</v>
      </c>
      <c r="Q17" s="1">
        <f t="shared" si="1"/>
        <v>0.90408645727794656</v>
      </c>
      <c r="R17" s="1">
        <f t="shared" si="2"/>
        <v>0.87605538669368443</v>
      </c>
    </row>
    <row r="18" spans="1:18" x14ac:dyDescent="0.2">
      <c r="A18">
        <v>34</v>
      </c>
      <c r="B18" s="2">
        <v>613.4</v>
      </c>
      <c r="C18" s="2">
        <v>89.1</v>
      </c>
      <c r="D18" s="2">
        <v>594.9</v>
      </c>
      <c r="E18" s="2">
        <v>87</v>
      </c>
      <c r="F18" s="2">
        <v>551.70000000000005</v>
      </c>
      <c r="G18" s="2">
        <v>53.5</v>
      </c>
      <c r="H18" s="2">
        <v>534.20000000000005</v>
      </c>
      <c r="I18" s="2">
        <v>50.8</v>
      </c>
      <c r="J18" s="2">
        <v>-3</v>
      </c>
      <c r="K18" s="2">
        <v>-10.1</v>
      </c>
      <c r="L18" s="2">
        <v>-3.2</v>
      </c>
      <c r="M18" s="2">
        <v>-40</v>
      </c>
      <c r="N18" s="2"/>
      <c r="O18">
        <v>1</v>
      </c>
      <c r="P18" s="1">
        <f t="shared" si="0"/>
        <v>0.96984023475709158</v>
      </c>
      <c r="Q18" s="1">
        <f t="shared" si="1"/>
        <v>0.89941310727094892</v>
      </c>
      <c r="R18" s="1">
        <f t="shared" si="2"/>
        <v>0.87088359960873829</v>
      </c>
    </row>
    <row r="19" spans="1:18" x14ac:dyDescent="0.2">
      <c r="A19">
        <v>36</v>
      </c>
      <c r="B19" s="2">
        <v>638</v>
      </c>
      <c r="C19" s="2">
        <v>96.2</v>
      </c>
      <c r="D19" s="2">
        <v>616.79999999999995</v>
      </c>
      <c r="E19" s="2">
        <v>93.1</v>
      </c>
      <c r="F19" s="2">
        <v>570.9</v>
      </c>
      <c r="G19" s="2">
        <v>57.4</v>
      </c>
      <c r="H19" s="2">
        <v>552.20000000000005</v>
      </c>
      <c r="I19" s="2">
        <v>54</v>
      </c>
      <c r="J19" s="2">
        <v>-3.3</v>
      </c>
      <c r="K19" s="2">
        <v>-10.5</v>
      </c>
      <c r="L19" s="2">
        <v>-3.3</v>
      </c>
      <c r="M19" s="2">
        <v>-40.299999999999997</v>
      </c>
      <c r="N19" s="2"/>
      <c r="O19">
        <v>1</v>
      </c>
      <c r="P19" s="1">
        <f t="shared" si="0"/>
        <v>0.96677115987460804</v>
      </c>
      <c r="Q19" s="1">
        <f t="shared" si="1"/>
        <v>0.89482758620689651</v>
      </c>
      <c r="R19" s="1">
        <f t="shared" si="2"/>
        <v>0.86551724137931041</v>
      </c>
    </row>
    <row r="20" spans="1:18" x14ac:dyDescent="0.2">
      <c r="A20">
        <v>38</v>
      </c>
      <c r="B20" s="2">
        <v>655.29999999999995</v>
      </c>
      <c r="C20" s="2">
        <v>101.9</v>
      </c>
      <c r="D20" s="2">
        <v>639</v>
      </c>
      <c r="E20" s="2">
        <v>100</v>
      </c>
      <c r="F20" s="2">
        <v>588</v>
      </c>
      <c r="G20" s="2">
        <v>61</v>
      </c>
      <c r="H20" s="2">
        <v>572.20000000000005</v>
      </c>
      <c r="I20" s="2">
        <v>58.4</v>
      </c>
      <c r="J20" s="2">
        <v>-2.5</v>
      </c>
      <c r="K20" s="2">
        <v>-10.3</v>
      </c>
      <c r="L20" s="2">
        <v>-2.7</v>
      </c>
      <c r="M20" s="2">
        <v>-40.1</v>
      </c>
      <c r="N20" s="2"/>
      <c r="O20">
        <v>1</v>
      </c>
      <c r="P20" s="1">
        <f t="shared" si="0"/>
        <v>0.97512589653593784</v>
      </c>
      <c r="Q20" s="1">
        <f t="shared" si="1"/>
        <v>0.89729894704715407</v>
      </c>
      <c r="R20" s="1">
        <f t="shared" si="2"/>
        <v>0.87318785289180545</v>
      </c>
    </row>
    <row r="21" spans="1:18" x14ac:dyDescent="0.2">
      <c r="A21">
        <v>40</v>
      </c>
      <c r="B21" s="2">
        <v>676.2</v>
      </c>
      <c r="C21" s="2">
        <v>109.1</v>
      </c>
      <c r="D21" s="2">
        <v>661.1</v>
      </c>
      <c r="E21" s="2">
        <v>106.8</v>
      </c>
      <c r="F21" s="2">
        <v>604.20000000000005</v>
      </c>
      <c r="G21" s="2">
        <v>63.8</v>
      </c>
      <c r="H21" s="2">
        <v>582.9</v>
      </c>
      <c r="I21" s="2">
        <v>61.5</v>
      </c>
      <c r="J21" s="2">
        <v>-2.2000000000000002</v>
      </c>
      <c r="K21" s="2">
        <v>-10.6</v>
      </c>
      <c r="L21" s="2">
        <v>-3.5</v>
      </c>
      <c r="M21" s="2">
        <v>-41.5</v>
      </c>
      <c r="N21" s="2"/>
      <c r="O21">
        <v>1</v>
      </c>
      <c r="P21" s="1">
        <f t="shared" si="0"/>
        <v>0.97766932860100564</v>
      </c>
      <c r="Q21" s="1">
        <f t="shared" si="1"/>
        <v>0.89352262644188107</v>
      </c>
      <c r="R21" s="1">
        <f t="shared" si="2"/>
        <v>0.86202307009760415</v>
      </c>
    </row>
    <row r="22" spans="1:18" x14ac:dyDescent="0.2">
      <c r="A22">
        <v>60</v>
      </c>
      <c r="B22" s="2">
        <v>899.8</v>
      </c>
      <c r="C22" s="2">
        <v>192.5</v>
      </c>
      <c r="D22" s="2">
        <v>882.8</v>
      </c>
      <c r="E22" s="2">
        <v>190.5</v>
      </c>
      <c r="F22" s="2">
        <v>779.9</v>
      </c>
      <c r="G22" s="2">
        <v>114.4</v>
      </c>
      <c r="H22" s="2">
        <v>764.7</v>
      </c>
      <c r="I22" s="2">
        <v>110.5</v>
      </c>
      <c r="J22" s="2">
        <v>-1.9</v>
      </c>
      <c r="K22" s="2">
        <v>-13.3</v>
      </c>
      <c r="L22" s="2">
        <v>-1.9</v>
      </c>
      <c r="M22" s="2">
        <v>-40.6</v>
      </c>
      <c r="N22" s="2"/>
      <c r="O22">
        <v>1</v>
      </c>
      <c r="P22" s="1">
        <f t="shared" si="0"/>
        <v>0.98110691264725491</v>
      </c>
      <c r="Q22" s="1">
        <f t="shared" si="1"/>
        <v>0.86674816625916873</v>
      </c>
      <c r="R22" s="1">
        <f t="shared" si="2"/>
        <v>0.84985552344965554</v>
      </c>
    </row>
    <row r="23" spans="1:18" x14ac:dyDescent="0.2">
      <c r="A23">
        <v>80</v>
      </c>
      <c r="B23" s="2">
        <v>1109.9000000000001</v>
      </c>
      <c r="C23" s="2">
        <v>298</v>
      </c>
      <c r="D23" s="2">
        <v>1086.2</v>
      </c>
      <c r="E23" s="2">
        <v>293.2</v>
      </c>
      <c r="F23" s="2">
        <v>950.1</v>
      </c>
      <c r="G23" s="2">
        <v>179.4</v>
      </c>
      <c r="H23" s="2">
        <v>930.2</v>
      </c>
      <c r="I23" s="2">
        <v>173.8</v>
      </c>
      <c r="J23" s="2">
        <v>-2.1</v>
      </c>
      <c r="K23" s="2">
        <v>-14.4</v>
      </c>
      <c r="L23" s="2">
        <v>-2.1</v>
      </c>
      <c r="M23" s="2">
        <v>-39.799999999999997</v>
      </c>
      <c r="N23" s="2"/>
      <c r="O23">
        <v>1</v>
      </c>
      <c r="P23" s="1">
        <f t="shared" si="0"/>
        <v>0.97864672493017391</v>
      </c>
      <c r="Q23" s="1">
        <f t="shared" si="1"/>
        <v>0.85602306514100368</v>
      </c>
      <c r="R23" s="1">
        <f t="shared" si="2"/>
        <v>0.8380935219389134</v>
      </c>
    </row>
    <row r="24" spans="1:18" x14ac:dyDescent="0.2">
      <c r="A24">
        <v>100</v>
      </c>
      <c r="B24" s="2">
        <v>1320</v>
      </c>
      <c r="C24" s="2">
        <v>428.3</v>
      </c>
      <c r="D24" s="2">
        <v>1297.0999999999999</v>
      </c>
      <c r="E24" s="2">
        <v>422.9</v>
      </c>
      <c r="F24" s="2">
        <v>1115.2</v>
      </c>
      <c r="G24" s="2">
        <v>256.89999999999998</v>
      </c>
      <c r="H24" s="2">
        <v>1096</v>
      </c>
      <c r="I24" s="2">
        <v>252.4</v>
      </c>
      <c r="J24" s="2">
        <v>-1.7</v>
      </c>
      <c r="K24" s="2">
        <v>-15.5</v>
      </c>
      <c r="L24" s="2">
        <v>-1.7</v>
      </c>
      <c r="M24" s="2">
        <v>-40</v>
      </c>
      <c r="N24" s="2"/>
      <c r="O24">
        <v>1</v>
      </c>
      <c r="P24" s="1">
        <f t="shared" si="0"/>
        <v>0.98265151515151505</v>
      </c>
      <c r="Q24" s="1">
        <f t="shared" si="1"/>
        <v>0.84484848484848485</v>
      </c>
      <c r="R24" s="1">
        <f t="shared" si="2"/>
        <v>0.83030303030303032</v>
      </c>
    </row>
    <row r="25" spans="1:18" x14ac:dyDescent="0.2">
      <c r="A25">
        <v>120</v>
      </c>
      <c r="B25" s="2">
        <v>1533.6</v>
      </c>
      <c r="C25" s="2">
        <v>585.79999999999995</v>
      </c>
      <c r="D25" s="2">
        <v>1511</v>
      </c>
      <c r="E25" s="2">
        <v>578.79999999999995</v>
      </c>
      <c r="F25" s="2">
        <v>1287.4000000000001</v>
      </c>
      <c r="G25" s="2">
        <v>356.1</v>
      </c>
      <c r="H25" s="2">
        <v>1268.4000000000001</v>
      </c>
      <c r="I25" s="2">
        <v>347.3</v>
      </c>
      <c r="J25" s="2">
        <v>-1.5</v>
      </c>
      <c r="K25" s="2">
        <v>-16.100000000000001</v>
      </c>
      <c r="L25" s="2">
        <v>-1.5</v>
      </c>
      <c r="M25" s="2">
        <v>-39.200000000000003</v>
      </c>
      <c r="N25" s="2"/>
      <c r="O25">
        <v>1</v>
      </c>
      <c r="P25" s="1">
        <f t="shared" si="0"/>
        <v>0.98526343244653114</v>
      </c>
      <c r="Q25" s="1">
        <f t="shared" si="1"/>
        <v>0.83946270213875862</v>
      </c>
      <c r="R25" s="1">
        <f t="shared" si="2"/>
        <v>0.82707355242566516</v>
      </c>
    </row>
    <row r="26" spans="1:18" x14ac:dyDescent="0.2">
      <c r="A26">
        <v>140</v>
      </c>
      <c r="B26" s="2">
        <v>1736.3</v>
      </c>
      <c r="C26" s="2">
        <v>764.8</v>
      </c>
      <c r="D26" s="2">
        <v>1709.2</v>
      </c>
      <c r="E26" s="2">
        <v>755.7</v>
      </c>
      <c r="F26" s="2">
        <v>1447.2</v>
      </c>
      <c r="G26" s="2">
        <v>462.7</v>
      </c>
      <c r="H26" s="2">
        <v>1430.2</v>
      </c>
      <c r="I26" s="2">
        <v>452.6</v>
      </c>
      <c r="J26" s="2">
        <v>-1.6</v>
      </c>
      <c r="K26" s="2">
        <v>-16.7</v>
      </c>
      <c r="L26" s="2">
        <v>-1.2</v>
      </c>
      <c r="M26" s="2">
        <v>-39.5</v>
      </c>
      <c r="N26" s="2"/>
      <c r="O26">
        <v>1</v>
      </c>
      <c r="P26" s="1">
        <f t="shared" si="0"/>
        <v>0.9843920981397225</v>
      </c>
      <c r="Q26" s="1">
        <f t="shared" si="1"/>
        <v>0.83349651557910509</v>
      </c>
      <c r="R26" s="1">
        <f t="shared" si="2"/>
        <v>0.82370558083280543</v>
      </c>
    </row>
    <row r="27" spans="1:18" x14ac:dyDescent="0.2">
      <c r="A27">
        <v>160</v>
      </c>
      <c r="B27" s="2">
        <v>1958</v>
      </c>
      <c r="C27" s="2">
        <v>978.3</v>
      </c>
      <c r="D27" s="2">
        <v>1924.4</v>
      </c>
      <c r="E27" s="2">
        <v>964.3</v>
      </c>
      <c r="F27" s="2">
        <v>1619.1</v>
      </c>
      <c r="G27" s="2">
        <v>595.1</v>
      </c>
      <c r="H27" s="2">
        <v>1601.2</v>
      </c>
      <c r="I27" s="2">
        <v>582.1</v>
      </c>
      <c r="J27" s="2">
        <v>-1.7</v>
      </c>
      <c r="K27" s="2">
        <v>-17.3</v>
      </c>
      <c r="L27" s="2">
        <v>-1.1000000000000001</v>
      </c>
      <c r="M27" s="2">
        <v>-39.200000000000003</v>
      </c>
      <c r="N27" s="2"/>
      <c r="O27">
        <v>1</v>
      </c>
      <c r="P27" s="1">
        <f t="shared" si="0"/>
        <v>0.98283963227783455</v>
      </c>
      <c r="Q27" s="1">
        <f t="shared" si="1"/>
        <v>0.82691521961184877</v>
      </c>
      <c r="R27" s="1">
        <f t="shared" si="2"/>
        <v>0.81777323799795709</v>
      </c>
    </row>
    <row r="28" spans="1:18" x14ac:dyDescent="0.2">
      <c r="A28">
        <v>180</v>
      </c>
      <c r="B28" s="2">
        <v>2160.8000000000002</v>
      </c>
      <c r="C28" s="2">
        <v>1212.4000000000001</v>
      </c>
      <c r="D28" s="2">
        <v>2132</v>
      </c>
      <c r="E28" s="2">
        <v>1200</v>
      </c>
      <c r="F28" s="2">
        <v>1779.4</v>
      </c>
      <c r="G28" s="2">
        <v>735.4</v>
      </c>
      <c r="H28" s="2">
        <v>1764.3</v>
      </c>
      <c r="I28" s="2">
        <v>722</v>
      </c>
      <c r="J28" s="2">
        <v>-1.3</v>
      </c>
      <c r="K28" s="2">
        <v>-17.7</v>
      </c>
      <c r="L28" s="2">
        <v>-0.8</v>
      </c>
      <c r="M28" s="2">
        <v>-39.299999999999997</v>
      </c>
      <c r="N28" s="2"/>
      <c r="O28">
        <v>1</v>
      </c>
      <c r="P28" s="1">
        <f t="shared" si="0"/>
        <v>0.98667160310995916</v>
      </c>
      <c r="Q28" s="1">
        <f t="shared" si="1"/>
        <v>0.82349129951869671</v>
      </c>
      <c r="R28" s="1">
        <f t="shared" si="2"/>
        <v>0.81650314698259896</v>
      </c>
    </row>
    <row r="29" spans="1:18" x14ac:dyDescent="0.2">
      <c r="A29">
        <v>200</v>
      </c>
      <c r="B29" s="2">
        <v>2369.8000000000002</v>
      </c>
      <c r="C29" s="2">
        <v>1470.6</v>
      </c>
      <c r="D29" s="2">
        <v>2342.5</v>
      </c>
      <c r="E29" s="2">
        <v>1458.6</v>
      </c>
      <c r="F29" s="2">
        <v>1940.2</v>
      </c>
      <c r="G29" s="2">
        <v>887.7</v>
      </c>
      <c r="H29" s="2">
        <v>1927.7</v>
      </c>
      <c r="I29" s="2">
        <v>875.2</v>
      </c>
      <c r="J29" s="2">
        <v>-1.2</v>
      </c>
      <c r="K29" s="2">
        <v>-18.100000000000001</v>
      </c>
      <c r="L29" s="2">
        <v>-0.6</v>
      </c>
      <c r="M29" s="2">
        <v>-39.6</v>
      </c>
      <c r="N29" s="2"/>
      <c r="O29">
        <v>1</v>
      </c>
      <c r="P29" s="1">
        <f t="shared" si="0"/>
        <v>0.98848004050974758</v>
      </c>
      <c r="Q29" s="1">
        <f t="shared" si="1"/>
        <v>0.81871887923031472</v>
      </c>
      <c r="R29" s="1">
        <f t="shared" si="2"/>
        <v>0.81344417250400869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line6</vt:lpstr>
      <vt:lpstr>more gadgets</vt:lpstr>
      <vt:lpstr>Molecules</vt:lpstr>
      <vt:lpstr>quito5</vt:lpstr>
      <vt:lpstr>grid9</vt:lpstr>
      <vt:lpstr>guadalupe16</vt:lpstr>
      <vt:lpstr>grid9-5</vt:lpstr>
      <vt:lpstr>guadalupe16-8</vt:lpstr>
      <vt:lpstr>guadalupe16-8legs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Lauri Vuorenkoski</cp:lastModifiedBy>
  <dcterms:created xsi:type="dcterms:W3CDTF">2025-08-06T10:12:00Z</dcterms:created>
  <dcterms:modified xsi:type="dcterms:W3CDTF">2025-09-16T05:46:06Z</dcterms:modified>
</cp:coreProperties>
</file>